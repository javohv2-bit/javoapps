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32" documentId="8_{4969478E-96C7-4F98-B94D-B6F5A01C162A}" xr6:coauthVersionLast="47" xr6:coauthVersionMax="47" xr10:uidLastSave="{4CDF76B4-68C2-4F05-9B78-C274D70E2E93}"/>
  <bookViews>
    <workbookView xWindow="20" yWindow="20" windowWidth="19180" windowHeight="10060" activeTab="1" xr2:uid="{00000000-000D-0000-FFFF-FFFF00000000}"/>
  </bookViews>
  <sheets>
    <sheet name="Data" sheetId="1" r:id="rId1"/>
    <sheet name="Formulario" sheetId="2" r:id="rId2"/>
    <sheet name="Código (No llenar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U6" i="2"/>
  <c r="U7" i="2"/>
  <c r="U8" i="2"/>
  <c r="U9" i="2"/>
  <c r="U10" i="2"/>
  <c r="U11" i="2"/>
  <c r="U12" i="2"/>
  <c r="U13" i="2"/>
  <c r="S5" i="2"/>
  <c r="S6" i="2"/>
  <c r="S7" i="2"/>
  <c r="S8" i="2"/>
  <c r="S9" i="2"/>
  <c r="S10" i="2"/>
  <c r="S11" i="2"/>
  <c r="S12" i="2"/>
  <c r="S13" i="2"/>
  <c r="Q5" i="2"/>
  <c r="Q6" i="2"/>
  <c r="Q7" i="2"/>
  <c r="Q8" i="2"/>
  <c r="Q9" i="2"/>
  <c r="Q10" i="2"/>
  <c r="Q11" i="2"/>
  <c r="Q12" i="2"/>
  <c r="Q13" i="2"/>
  <c r="O5" i="2"/>
  <c r="O6" i="2"/>
  <c r="O7" i="2"/>
  <c r="O8" i="2"/>
  <c r="O9" i="2"/>
  <c r="O10" i="2"/>
  <c r="O11" i="2"/>
  <c r="O12" i="2"/>
  <c r="O13" i="2"/>
  <c r="M5" i="2"/>
  <c r="M6" i="2"/>
  <c r="M7" i="2"/>
  <c r="M8" i="2"/>
  <c r="M9" i="2"/>
  <c r="M10" i="2"/>
  <c r="M11" i="2"/>
  <c r="M12" i="2"/>
  <c r="M13" i="2"/>
  <c r="K5" i="2"/>
  <c r="K6" i="2"/>
  <c r="K7" i="2"/>
  <c r="K8" i="2"/>
  <c r="K9" i="2"/>
  <c r="K10" i="2"/>
  <c r="K11" i="2"/>
  <c r="K12" i="2"/>
  <c r="K13" i="2"/>
  <c r="I5" i="2"/>
  <c r="I6" i="2"/>
  <c r="I7" i="2"/>
  <c r="I8" i="2"/>
  <c r="I9" i="2"/>
  <c r="I10" i="2"/>
  <c r="I11" i="2"/>
  <c r="I12" i="2"/>
  <c r="I13" i="2"/>
  <c r="G7" i="2"/>
  <c r="G8" i="2"/>
  <c r="G9" i="2"/>
  <c r="G10" i="2"/>
  <c r="G11" i="2"/>
  <c r="G12" i="2"/>
  <c r="G13" i="2"/>
  <c r="U5" i="2"/>
  <c r="U4" i="2"/>
  <c r="E5" i="2"/>
  <c r="E6" i="2"/>
  <c r="E7" i="2"/>
  <c r="E8" i="2"/>
  <c r="E9" i="2"/>
  <c r="E10" i="2"/>
  <c r="E11" i="2"/>
  <c r="E12" i="2"/>
  <c r="E13" i="2"/>
  <c r="E4" i="2"/>
  <c r="C5" i="2"/>
  <c r="C6" i="2"/>
  <c r="C7" i="2"/>
  <c r="C8" i="2"/>
  <c r="C9" i="2"/>
  <c r="C10" i="2"/>
  <c r="C11" i="2"/>
  <c r="C12" i="2"/>
  <c r="C4" i="2"/>
  <c r="D11" i="1"/>
  <c r="D3" i="1" l="1"/>
  <c r="D5" i="1"/>
  <c r="G4" i="2" l="1"/>
  <c r="B1" i="3" l="1"/>
  <c r="C13" i="2"/>
  <c r="V14" i="2" l="1"/>
  <c r="S4" i="2"/>
  <c r="Q4" i="2"/>
  <c r="O4" i="2"/>
  <c r="M4" i="2"/>
  <c r="K4" i="2"/>
  <c r="I4" i="2"/>
  <c r="D10" i="1"/>
  <c r="D9" i="1"/>
  <c r="D8" i="1"/>
  <c r="D7" i="1"/>
  <c r="D6" i="1"/>
  <c r="D4" i="1"/>
</calcChain>
</file>

<file path=xl/sharedStrings.xml><?xml version="1.0" encoding="utf-8"?>
<sst xmlns="http://schemas.openxmlformats.org/spreadsheetml/2006/main" count="141" uniqueCount="98">
  <si>
    <t>Modulo</t>
  </si>
  <si>
    <t>Descripción</t>
  </si>
  <si>
    <t>Tamaño de la imagen</t>
  </si>
  <si>
    <t>Código</t>
  </si>
  <si>
    <t>apertura contenedor</t>
  </si>
  <si>
    <t>obligatorio</t>
  </si>
  <si>
    <t>&lt;div class="fb-product-information-tab__copy__new"&gt;</t>
  </si>
  <si>
    <t>Modulo 1</t>
  </si>
  <si>
    <t>Banner principal sin texto (Modulo 1)</t>
  </si>
  <si>
    <t>1160x480</t>
  </si>
  <si>
    <t>Nombre imagen:</t>
  </si>
  <si>
    <t>/publicwidth=1160 height=480</t>
  </si>
  <si>
    <t>Alt imagen:</t>
  </si>
  <si>
    <t>&gt;  &lt;/div&gt;</t>
  </si>
  <si>
    <t>Modulo 2</t>
  </si>
  <si>
    <t>Texto en dos columnas (Modulo 2)</t>
  </si>
  <si>
    <t>sin imagen</t>
  </si>
  <si>
    <t>&lt;div class="fb-product-information-tab__text separator"&gt;
  &lt;div class="fb-product-information-tab__text-first"&gt;
    &lt;h3 class="fb-cpy-bold"&gt;</t>
  </si>
  <si>
    <t>Título del párrafo:</t>
  </si>
  <si>
    <t>&lt;/h3&gt;
    &lt;p class="fb-cpy-small"&gt;</t>
  </si>
  <si>
    <t>Texto primera columna:</t>
  </si>
  <si>
    <t>&lt;/p&gt;
  &lt;/div&gt;&lt;div class="fb-product-information-tab__text-second"&gt;
    &lt;h3 class="fb-cpy-bold"&gt; &lt;/h3&gt;
    &lt;p class="fb-cpy-small"&gt;</t>
  </si>
  <si>
    <t>Texto segunda columna:</t>
  </si>
  <si>
    <t>&lt;/p&gt;
  &lt;/div&gt;
&lt;/div&gt;</t>
  </si>
  <si>
    <t>Modulo 3</t>
  </si>
  <si>
    <t>Imagen y texto (Modulo 3)</t>
  </si>
  <si>
    <t>560x315</t>
  </si>
  <si>
    <t>/publicwidth=560 height=315</t>
  </si>
  <si>
    <t>&gt;
  &lt;/div&gt;
  &lt;div class="fb-product-information-tab__picture-text-second"&gt;
    &lt;h3 class="fb-cpy-bold"&gt;</t>
  </si>
  <si>
    <t>Texto del párrafo:</t>
  </si>
  <si>
    <t>Modulo 4</t>
  </si>
  <si>
    <t>Texto e Imagen (Modulo 4)</t>
  </si>
  <si>
    <t>&lt;div class="fb-product-information-tab__picture-text separator"&gt;
  &lt;div class="fb-product-information-tab__picture-text-first orderFix"&gt;
    &lt;h3 class="fb-cpy-bold"&gt;</t>
  </si>
  <si>
    <t>&gt;
  &lt;/div&gt;
&lt;/div&gt;</t>
  </si>
  <si>
    <t>Modulo 5</t>
  </si>
  <si>
    <t>Lista en dos columnas (Modulo 5)</t>
  </si>
  <si>
    <t>&lt;/h3&gt;
    &lt;ul class="fb-cpy-small fb-list"&gt;</t>
  </si>
  <si>
    <t>item 1:</t>
  </si>
  <si>
    <t>item 2:</t>
  </si>
  <si>
    <t>item 3:</t>
  </si>
  <si>
    <t>item 4:</t>
  </si>
  <si>
    <t xml:space="preserve">    &lt;/ul&gt;
  &lt;/div&gt;
  &lt;div class="fb-product-information-tab__text-second"&gt;
    &lt;h3 class="fb-cpy-bold"&gt;&amp;nbsp;&lt;/h3&gt;
    &lt;ul class="fb-cpy-small fb-list"&gt;</t>
  </si>
  <si>
    <t>item 5:</t>
  </si>
  <si>
    <t>item 6:</t>
  </si>
  <si>
    <t>item 7:</t>
  </si>
  <si>
    <t>item 8:</t>
  </si>
  <si>
    <t xml:space="preserve">  &lt;/ul&gt;
  &lt;/div&gt;
&lt;/div&gt;
</t>
  </si>
  <si>
    <t>Modulo 6</t>
  </si>
  <si>
    <t>Banner grande y texto (Modulo 6)</t>
  </si>
  <si>
    <t>1160x360</t>
  </si>
  <si>
    <t>/publicwidth=1160 height=360</t>
  </si>
  <si>
    <t>&gt;
  &lt;h3 class="fb-cpy-bold"&gt;</t>
  </si>
  <si>
    <t>&lt;/h3&gt;
  &lt;p class="fb-cpy-small"&gt;</t>
  </si>
  <si>
    <t>&lt;/p&gt;
&lt;/div&gt;</t>
  </si>
  <si>
    <t>Modulo 7</t>
  </si>
  <si>
    <t>Dos imágenes con texto abajo (Modulo 7)</t>
  </si>
  <si>
    <t>Nombre imagen izquierda:</t>
  </si>
  <si>
    <t>Alt imagen izquierda:</t>
  </si>
  <si>
    <t>&gt;
    &lt;h3 class="fb-cpy-bold"&gt;</t>
  </si>
  <si>
    <t>Título izquierdo:</t>
  </si>
  <si>
    <t>Párrafo izquierdo:</t>
  </si>
  <si>
    <t>Nombre imagen derecha:</t>
  </si>
  <si>
    <t>Alt imagen derecha:</t>
  </si>
  <si>
    <t>Título derecho:</t>
  </si>
  <si>
    <t>Párrafo derecho:</t>
  </si>
  <si>
    <t>Modulo 8</t>
  </si>
  <si>
    <t>Video y texto (Modulo 8)</t>
  </si>
  <si>
    <t>&lt;div class="fb-product-information-tab__video separator"&gt; 
  &lt;div class="fb-product-information-tab__video-iframe"&gt;
 &lt;iframe src="https://www.youtube.com/embed/</t>
  </si>
  <si>
    <t>Código youtube del video:</t>
  </si>
  <si>
    <t>" frameborder="0" allowfullscreen&gt;&lt;/iframe&gt;
  &lt;/div&gt;
  &lt;div class="fb-product-information-tab__video-text"&gt;
    &lt;h3 class="fb-cpy-bold"&gt;</t>
  </si>
  <si>
    <t>Modulo 9</t>
  </si>
  <si>
    <t>Banner clicleable (Modulo 9)</t>
  </si>
  <si>
    <t>&lt;!DOCTYPE html&gt;
&lt;html lang="es"&gt;
&lt;head&gt;
    &lt;meta charset="UTF-8"&gt;
    &lt;meta name="viewport" content="width=device-width, initial-scale=1.0"&gt;
    &lt;title&gt;Producto&lt;/title&gt;
&lt;/head&gt;
&lt;body&gt;
    &lt;a href="</t>
  </si>
  <si>
    <t>URL a direccionar:</t>
  </si>
  <si>
    <t>/h=400,w=400" alt="Zapatillas"&gt;
    &lt;/a&gt;
&lt;/body&gt;
&lt;/html&gt;</t>
  </si>
  <si>
    <t>Cierre contenedor</t>
  </si>
  <si>
    <t>&lt;/div&gt;</t>
  </si>
  <si>
    <t>SKU:</t>
  </si>
  <si>
    <t>Elige el tipo de modulo y completa la información</t>
  </si>
  <si>
    <t>Código del bloque</t>
  </si>
  <si>
    <t>Bloque 1:</t>
  </si>
  <si>
    <t>Bloque 2:</t>
  </si>
  <si>
    <t>Bloque 3:</t>
  </si>
  <si>
    <t>Bloque 4:</t>
  </si>
  <si>
    <t>Bloque 5:</t>
  </si>
  <si>
    <t>Bloque 6:</t>
  </si>
  <si>
    <t>Bloque 7:</t>
  </si>
  <si>
    <t>Bloque 8:</t>
  </si>
  <si>
    <t>Bloque 9:</t>
  </si>
  <si>
    <t>Bloque 10:</t>
  </si>
  <si>
    <t>COPIA EL CODIGO DEL INPAGE Y PEGALO COMO TEXTO:</t>
  </si>
  <si>
    <t>&lt;div class="fb-product-information-tab__header separator"&gt;
  &lt;img src=https://media.falabella.com/falabellaCL/inpage_media/</t>
  </si>
  <si>
    <t>&lt;div class="fb-product-information-tab__picture-text separator"&gt;
  &lt;div class="fb-product-information-tab__picture-text-first"&gt;
    &lt;img src=https://media.falabella.com/falabellaCL/inpage_media/</t>
  </si>
  <si>
    <t>&lt;/p&gt;
  &lt;/div&gt;
  &lt;div class="fb-product-information-tab__picture-text-second orderFix"&gt;
    &lt;img src=https://media.falabella.com/falabellaCL/inpage_media/</t>
  </si>
  <si>
    <t>&lt;div class="fb-product-information-tab__banner separator"&gt;
  &lt;img src=https://media.falabella.com/falabellaCL/inpage_media/</t>
  </si>
  <si>
    <t>&lt;div class="fb-product-information-tab__pictures separator"&gt;
  &lt;div class="fb-product-information-tab__pictures-first"&gt;
    &lt;img src=https://media.falabella.com/falabellaCL/inpage_media/</t>
  </si>
  <si>
    <t>&lt;/p&gt;
  &lt;/div&gt;
  &lt;div class="fb-product-information-tab__pictures-second"&gt;
    &lt;img src=https://media.falabella.com/falabellaCL/inpage_media/</t>
  </si>
  <si>
    <t>" target="_blank"&gt;
        &lt;img src="https://media.falabella.com/falabellaCL/inpage_media/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</si>
</sst>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1" fillId="3" borderId="0" xfId="0" applyFont="1" applyFill="1"/>
    <xf numFmtId="0" fontId="0" fillId="6" borderId="0" xfId="0" applyFill="1" applyAlignment="1">
      <alignment vertical="top"/>
    </xf>
    <xf numFmtId="0" fontId="3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4" fillId="4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6" fillId="3" borderId="0" xfId="0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2" borderId="0" xfId="0" applyFont="1" applyFill="1"/>
    <xf numFmtId="0" fontId="8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6" borderId="0" xfId="0" applyFont="1" applyFill="1"/>
    <xf numFmtId="0" fontId="0" fillId="0" borderId="4" xfId="0" applyBorder="1" applyAlignment="1">
      <alignment vertical="top" wrapText="1"/>
    </xf>
    <xf numFmtId="0" fontId="9" fillId="0" borderId="0" xfId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/>
  </cellXfs>
  <cellStyles count="2">
    <cellStyle name="Hipervínculo" xfId="1" builtinId="8"/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zoomScale="85" zoomScaleNormal="85" workbookViewId="0">
      <selection activeCell="J18" sqref="J18"/>
    </sheetView>
  </sheetViews>
  <sheetFormatPr baseColWidth="10" defaultColWidth="8.7265625" defaultRowHeight="14.5" x14ac:dyDescent="0.35"/>
  <cols>
    <col min="1" max="1" width="18.26953125" bestFit="1" customWidth="1"/>
    <col min="2" max="2" width="33.453125" customWidth="1"/>
    <col min="3" max="3" width="18.7265625" bestFit="1" customWidth="1"/>
    <col min="4" max="4" width="59.54296875" customWidth="1"/>
    <col min="5" max="5" width="17.453125" customWidth="1"/>
    <col min="6" max="6" width="15.26953125" bestFit="1" customWidth="1"/>
    <col min="8" max="8" width="20.26953125" bestFit="1" customWidth="1"/>
    <col min="10" max="10" width="20.54296875" bestFit="1" customWidth="1"/>
    <col min="11" max="11" width="29.1796875" bestFit="1" customWidth="1"/>
    <col min="12" max="12" width="17.54296875" customWidth="1"/>
  </cols>
  <sheetData>
    <row r="1" spans="1:21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21" x14ac:dyDescent="0.35">
      <c r="A2" s="2" t="s">
        <v>4</v>
      </c>
      <c r="B2" t="s">
        <v>5</v>
      </c>
      <c r="D2" s="4" t="s">
        <v>6</v>
      </c>
    </row>
    <row r="3" spans="1:21" ht="16.5" customHeight="1" x14ac:dyDescent="0.35">
      <c r="A3" s="2" t="s">
        <v>7</v>
      </c>
      <c r="B3" t="s">
        <v>8</v>
      </c>
      <c r="C3" t="s">
        <v>9</v>
      </c>
      <c r="D3" s="4" t="str">
        <f>CONCATENATE(E3,F3,G3,H3,I3)</f>
        <v>&lt;div class="fb-product-information-tab__header separator"&gt;
  &lt;img src=https://media.falabella.com/falabellaCL/inpage_media/Nombre imagen:/publicwidth=1160 height=480Alt imagen:&gt;  &lt;/div&gt;</v>
      </c>
      <c r="E3" s="17" t="s">
        <v>91</v>
      </c>
      <c r="F3" s="22" t="s">
        <v>10</v>
      </c>
      <c r="G3" t="s">
        <v>11</v>
      </c>
      <c r="H3" s="1" t="s">
        <v>12</v>
      </c>
      <c r="I3" t="s">
        <v>13</v>
      </c>
    </row>
    <row r="4" spans="1:21" x14ac:dyDescent="0.35">
      <c r="A4" s="2" t="s">
        <v>14</v>
      </c>
      <c r="B4" t="s">
        <v>15</v>
      </c>
      <c r="C4" t="s">
        <v>16</v>
      </c>
      <c r="D4" s="4" t="str">
        <f>CONCATENATE(E4,F4,G4,H4,I4,J4,K4)</f>
        <v>&lt;div class="fb-product-information-tab__text separator"&gt;
  &lt;div class="fb-product-information-tab__text-first"&gt;
    &lt;h3 class="fb-cpy-bold"&gt;Título del párrafo:&lt;/h3&gt;
    &lt;p class="fb-cpy-small"&gt;Texto primera columna:&lt;/p&gt;
  &lt;/div&gt;&lt;div class="fb-product-information-tab__text-second"&gt;
    &lt;h3 class="fb-cpy-bold"&gt; &lt;/h3&gt;
    &lt;p class="fb-cpy-small"&gt;Texto segunda columna:&lt;/p&gt;
  &lt;/div&gt;
&lt;/div&gt;</v>
      </c>
      <c r="E4" t="s">
        <v>17</v>
      </c>
      <c r="F4" s="1" t="s">
        <v>18</v>
      </c>
      <c r="G4" t="s">
        <v>19</v>
      </c>
      <c r="H4" s="1" t="s">
        <v>20</v>
      </c>
      <c r="I4" t="s">
        <v>21</v>
      </c>
      <c r="J4" s="1" t="s">
        <v>22</v>
      </c>
      <c r="K4" t="s">
        <v>23</v>
      </c>
    </row>
    <row r="5" spans="1:21" ht="12.65" customHeight="1" x14ac:dyDescent="0.35">
      <c r="A5" s="2" t="s">
        <v>24</v>
      </c>
      <c r="B5" t="s">
        <v>25</v>
      </c>
      <c r="C5" t="s">
        <v>26</v>
      </c>
      <c r="D5" s="4" t="str">
        <f>CONCATENATE(E5,F5,G5,H5,I5,J5,K5,L5,M5)</f>
        <v>&lt;div class="fb-product-information-tab__picture-text separator"&gt;
  &lt;div class="fb-product-information-tab__picture-text-first"&gt;
    &lt;img src=https://media.falabella.com/falabellaCL/inpage_media/Nombre imagen:/publicwidth=560 height=315Alt imagen:&gt;
  &lt;/div&gt;
  &lt;div class="fb-product-information-tab__picture-text-second"&gt;
    &lt;h3 class="fb-cpy-bold"&gt;Título del párrafo:&lt;/h3&gt;
    &lt;p class="fb-cpy-small"&gt;Texto del párrafo:&lt;/p&gt;
  &lt;/div&gt;
&lt;/div&gt;</v>
      </c>
      <c r="E5" s="17" t="s">
        <v>92</v>
      </c>
      <c r="F5" s="22" t="s">
        <v>10</v>
      </c>
      <c r="G5" t="s">
        <v>27</v>
      </c>
      <c r="H5" s="1" t="s">
        <v>12</v>
      </c>
      <c r="I5" s="17" t="s">
        <v>28</v>
      </c>
      <c r="J5" s="1" t="s">
        <v>18</v>
      </c>
      <c r="K5" t="s">
        <v>19</v>
      </c>
      <c r="L5" s="1" t="s">
        <v>29</v>
      </c>
      <c r="M5" t="s">
        <v>23</v>
      </c>
    </row>
    <row r="6" spans="1:21" ht="15" customHeight="1" x14ac:dyDescent="0.35">
      <c r="A6" s="2" t="s">
        <v>30</v>
      </c>
      <c r="B6" t="s">
        <v>31</v>
      </c>
      <c r="C6" t="s">
        <v>26</v>
      </c>
      <c r="D6" s="4" t="str">
        <f>CONCATENATE(E6,F6,G6,H6,I6,J6,K6,L6,M6)</f>
        <v>&lt;div class="fb-product-information-tab__picture-text separator"&gt;
  &lt;div class="fb-product-information-tab__picture-text-first orderFix"&gt;
    &lt;h3 class="fb-cpy-bold"&gt;Título del párrafo:&lt;/h3&gt;
    &lt;p class="fb-cpy-small"&gt;Texto del párrafo:&lt;/p&gt;
  &lt;/div&gt;
  &lt;div class="fb-product-information-tab__picture-text-second orderFix"&gt;
    &lt;img src=https://media.falabella.com/falabellaCL/inpage_media/Nombre imagen:/publicwidth=560 height=315Alt imagen:&gt;
  &lt;/div&gt;
&lt;/div&gt;</v>
      </c>
      <c r="E6" t="s">
        <v>32</v>
      </c>
      <c r="F6" s="1" t="s">
        <v>18</v>
      </c>
      <c r="G6" t="s">
        <v>19</v>
      </c>
      <c r="H6" s="1" t="s">
        <v>29</v>
      </c>
      <c r="I6" s="17" t="s">
        <v>93</v>
      </c>
      <c r="J6" s="22" t="s">
        <v>10</v>
      </c>
      <c r="K6" t="s">
        <v>27</v>
      </c>
      <c r="L6" s="22" t="s">
        <v>12</v>
      </c>
      <c r="M6" s="17" t="s">
        <v>33</v>
      </c>
    </row>
    <row r="7" spans="1:21" ht="18" customHeight="1" x14ac:dyDescent="0.35">
      <c r="A7" s="2" t="s">
        <v>34</v>
      </c>
      <c r="B7" t="s">
        <v>35</v>
      </c>
      <c r="C7" t="s">
        <v>16</v>
      </c>
      <c r="D7" s="4" t="str">
        <f>CONCATENATE(E7,F7,G7,H7,"&lt;/li&gt;&lt;li&gt;",I7,"&lt;/li&gt;&lt;li&gt;",J7,"&lt;/li&gt;&lt;li&gt;",K7,L7,M7,"&lt;/li&gt;&lt;li&gt;",N7,"&lt;/li&gt;&lt;li&gt;",O7,"&lt;/li&gt;&lt;li&gt;",P7,Q7)</f>
        <v xml:space="preserve">&lt;div class="fb-product-information-tab__text separator"&gt;
  &lt;div class="fb-product-information-tab__text-first"&gt;
    &lt;h3 class="fb-cpy-bold"&gt;Título del párrafo:&lt;/h3&gt;
    &lt;ul class="fb-cpy-small fb-list"&gt;item 1:&lt;/li&gt;&lt;li&gt;item 2:&lt;/li&gt;&lt;li&gt;item 3:&lt;/li&gt;&lt;li&gt;item 4:    &lt;/ul&gt;
  &lt;/div&gt;
  &lt;div class="fb-product-information-tab__text-second"&gt;
    &lt;h3 class="fb-cpy-bold"&gt;&amp;nbsp;&lt;/h3&gt;
    &lt;ul class="fb-cpy-small fb-list"&gt;item 5:&lt;/li&gt;&lt;li&gt;item 6:&lt;/li&gt;&lt;li&gt;item 7:&lt;/li&gt;&lt;li&gt;item 8:  &lt;/ul&gt;
  &lt;/div&gt;
&lt;/div&gt;
</v>
      </c>
      <c r="E7" t="s">
        <v>17</v>
      </c>
      <c r="F7" s="1" t="s">
        <v>18</v>
      </c>
      <c r="G7" s="17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7" t="s">
        <v>41</v>
      </c>
      <c r="M7" s="1" t="s">
        <v>42</v>
      </c>
      <c r="N7" s="1" t="s">
        <v>43</v>
      </c>
      <c r="O7" s="1" t="s">
        <v>44</v>
      </c>
      <c r="P7" s="1" t="s">
        <v>45</v>
      </c>
      <c r="Q7" s="17" t="s">
        <v>46</v>
      </c>
    </row>
    <row r="8" spans="1:21" ht="17.149999999999999" customHeight="1" x14ac:dyDescent="0.35">
      <c r="A8" s="2" t="s">
        <v>47</v>
      </c>
      <c r="B8" t="s">
        <v>48</v>
      </c>
      <c r="C8" t="s">
        <v>49</v>
      </c>
      <c r="D8" s="4" t="str">
        <f>CONCATENATE(E8,F8,G8,H8,I8,J8,K8,L8,M8)</f>
        <v>&lt;div class="fb-product-information-tab__banner separator"&gt;
  &lt;img src=https://media.falabella.com/falabellaCL/inpage_media/Nombre imagen:/publicwidth=1160 height=360Alt imagen:&gt;
  &lt;h3 class="fb-cpy-bold"&gt;Título del párrafo:&lt;/h3&gt;
  &lt;p class="fb-cpy-small"&gt;Texto del párrafo:&lt;/p&gt;
&lt;/div&gt;</v>
      </c>
      <c r="E8" s="17" t="s">
        <v>94</v>
      </c>
      <c r="F8" s="22" t="s">
        <v>10</v>
      </c>
      <c r="G8" t="s">
        <v>50</v>
      </c>
      <c r="H8" s="1" t="s">
        <v>12</v>
      </c>
      <c r="I8" s="17" t="s">
        <v>51</v>
      </c>
      <c r="J8" s="1" t="s">
        <v>18</v>
      </c>
      <c r="K8" t="s">
        <v>52</v>
      </c>
      <c r="L8" s="1" t="s">
        <v>29</v>
      </c>
      <c r="M8" t="s">
        <v>53</v>
      </c>
    </row>
    <row r="9" spans="1:21" ht="16" customHeight="1" x14ac:dyDescent="0.35">
      <c r="A9" s="2" t="s">
        <v>54</v>
      </c>
      <c r="B9" t="s">
        <v>55</v>
      </c>
      <c r="C9" t="s">
        <v>26</v>
      </c>
      <c r="D9" s="4" t="str">
        <f>CONCATENATE(E9,F9,G9,H9,I9,J9,K9,L9,M9,N9,O9,P9,Q9,R9,S9,T9,U9)</f>
        <v>&lt;div class="fb-product-information-tab__pictures separator"&gt;
  &lt;div class="fb-product-information-tab__pictures-first"&gt;
    &lt;img src=https://media.falabella.com/falabellaCL/inpage_media/Nombre imagen izquierda:/publicwidth=560 height=315Alt imagen izquierda:&gt;
    &lt;h3 class="fb-cpy-bold"&gt;Título izquierdo:&lt;/h3&gt;
    &lt;p class="fb-cpy-small"&gt;Párrafo izquierdo:&lt;/p&gt;
  &lt;/div&gt;
  &lt;div class="fb-product-information-tab__pictures-second"&gt;
    &lt;img src=https://media.falabella.com/falabellaCL/inpage_media/Nombre imagen derecha:/publicwidth=560 height=315Alt imagen derecha:&gt;
    &lt;h3 class="fb-cpy-bold"&gt;Título derecho:&lt;/h3&gt;
    &lt;p class="fb-cpy-small"&gt;Párrafo derecho:&lt;/p&gt;
  &lt;/div&gt;
&lt;/div&gt;</v>
      </c>
      <c r="E9" s="17" t="s">
        <v>95</v>
      </c>
      <c r="F9" s="22" t="s">
        <v>56</v>
      </c>
      <c r="G9" t="s">
        <v>27</v>
      </c>
      <c r="H9" s="1" t="s">
        <v>57</v>
      </c>
      <c r="I9" s="17" t="s">
        <v>58</v>
      </c>
      <c r="J9" s="1" t="s">
        <v>59</v>
      </c>
      <c r="K9" t="s">
        <v>19</v>
      </c>
      <c r="L9" s="1" t="s">
        <v>60</v>
      </c>
      <c r="M9" s="17" t="s">
        <v>96</v>
      </c>
      <c r="N9" s="22" t="s">
        <v>61</v>
      </c>
      <c r="O9" t="s">
        <v>27</v>
      </c>
      <c r="P9" s="1" t="s">
        <v>62</v>
      </c>
      <c r="Q9" s="17" t="s">
        <v>58</v>
      </c>
      <c r="R9" s="1" t="s">
        <v>63</v>
      </c>
      <c r="S9" t="s">
        <v>19</v>
      </c>
      <c r="T9" s="1" t="s">
        <v>64</v>
      </c>
      <c r="U9" t="s">
        <v>23</v>
      </c>
    </row>
    <row r="10" spans="1:21" x14ac:dyDescent="0.35">
      <c r="A10" s="2" t="s">
        <v>65</v>
      </c>
      <c r="B10" t="s">
        <v>66</v>
      </c>
      <c r="C10" t="s">
        <v>16</v>
      </c>
      <c r="D10" s="4" t="str">
        <f>CONCATENATE(E10,F10,G10,H10,I10,J10,K10,L10)</f>
        <v>&lt;div class="fb-product-information-tab__video separator"&gt; 
  &lt;div class="fb-product-information-tab__video-iframe"&gt;
 &lt;iframe src="https://www.youtube.com/embed/Código youtube del video:" frameborder="0" allowfullscreen&gt;&lt;/iframe&gt;
  &lt;/div&gt;
  &lt;div class="fb-product-information-tab__video-text"&gt;
    &lt;h3 class="fb-cpy-bold"&gt;Título del párrafo:&lt;/h3&gt;
    &lt;p class="fb-cpy-small"&gt;Texto del párrafo:&lt;/p&gt;
  &lt;/div&gt;
&lt;/div&gt;</v>
      </c>
      <c r="E10" t="s">
        <v>67</v>
      </c>
      <c r="F10" s="1" t="s">
        <v>68</v>
      </c>
      <c r="G10" t="s">
        <v>69</v>
      </c>
      <c r="H10" s="1" t="s">
        <v>18</v>
      </c>
      <c r="I10" t="s">
        <v>19</v>
      </c>
      <c r="J10" s="1" t="s">
        <v>29</v>
      </c>
      <c r="K10" t="s">
        <v>23</v>
      </c>
    </row>
    <row r="11" spans="1:21" x14ac:dyDescent="0.35">
      <c r="A11" s="2" t="s">
        <v>70</v>
      </c>
      <c r="B11" t="s">
        <v>71</v>
      </c>
      <c r="C11" t="s">
        <v>9</v>
      </c>
      <c r="D11" s="4" t="str">
        <f>CONCATENATE(E11,F11,G11,H11,I11)</f>
        <v>&lt;!DOCTYPE html&gt;
&lt;html lang="es"&gt;
&lt;head&gt;
    &lt;meta charset="UTF-8"&gt;
    &lt;meta name="viewport" content="width=device-width, initial-scale=1.0"&gt;
    &lt;title&gt;Producto&lt;/title&gt;
&lt;/head&gt;
&lt;body&gt;
    &lt;a href="URL a direccionar:" target="_blank"&gt;
        &lt;img src="https://media.falabella.com/falabellaCL/inpage_media/Nombre imagen:/h=400,w=400" alt="Zapatillas"&gt;
    &lt;/a&gt;
&lt;/body&gt;
&lt;/html&gt;</v>
      </c>
      <c r="E11" t="s">
        <v>72</v>
      </c>
      <c r="F11" s="22" t="s">
        <v>73</v>
      </c>
      <c r="G11" s="26" t="s">
        <v>97</v>
      </c>
      <c r="H11" s="22" t="s">
        <v>10</v>
      </c>
      <c r="I11" t="s">
        <v>74</v>
      </c>
    </row>
    <row r="12" spans="1:21" x14ac:dyDescent="0.35">
      <c r="A12" s="2" t="s">
        <v>75</v>
      </c>
      <c r="B12" t="s">
        <v>5</v>
      </c>
      <c r="D12" s="4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14" sqref="C14"/>
    </sheetView>
  </sheetViews>
  <sheetFormatPr baseColWidth="10" defaultColWidth="10.81640625" defaultRowHeight="14.5" x14ac:dyDescent="0.35"/>
  <cols>
    <col min="1" max="1" width="9.54296875" style="3" bestFit="1" customWidth="1"/>
    <col min="2" max="2" width="41.26953125" style="3" customWidth="1"/>
    <col min="3" max="3" width="29.453125" style="10" customWidth="1"/>
    <col min="4" max="4" width="25.1796875" style="3" customWidth="1"/>
    <col min="5" max="5" width="31.26953125" style="11" customWidth="1"/>
    <col min="6" max="6" width="18" style="3" customWidth="1"/>
    <col min="7" max="7" width="21.453125" style="10" bestFit="1" customWidth="1"/>
    <col min="8" max="8" width="15.81640625" style="3" customWidth="1"/>
    <col min="9" max="9" width="16" style="3" bestFit="1" customWidth="1"/>
    <col min="10" max="10" width="16.54296875" style="3" customWidth="1"/>
    <col min="11" max="11" width="22.1796875" style="3" bestFit="1" customWidth="1"/>
    <col min="12" max="12" width="10.81640625" style="3"/>
    <col min="13" max="13" width="17.54296875" style="3" bestFit="1" customWidth="1"/>
    <col min="14" max="14" width="10.81640625" style="3"/>
    <col min="15" max="15" width="13.453125" style="3" bestFit="1" customWidth="1"/>
    <col min="16" max="16" width="10.81640625" style="3"/>
    <col min="17" max="17" width="15.26953125" style="3" customWidth="1"/>
    <col min="18" max="18" width="10.81640625" style="3"/>
    <col min="19" max="19" width="17.54296875" style="3" customWidth="1"/>
    <col min="20" max="20" width="10.81640625" style="3"/>
    <col min="21" max="21" width="15.81640625" style="12" bestFit="1" customWidth="1"/>
    <col min="22" max="16384" width="10.81640625" style="3"/>
  </cols>
  <sheetData>
    <row r="1" spans="1:22" ht="26" x14ac:dyDescent="0.6">
      <c r="A1" s="18" t="s">
        <v>77</v>
      </c>
      <c r="B1" s="19"/>
    </row>
    <row r="2" spans="1:22" s="13" customFormat="1" ht="18.5" x14ac:dyDescent="0.45">
      <c r="A2" s="13" t="s">
        <v>78</v>
      </c>
      <c r="E2" s="14"/>
      <c r="G2" s="14"/>
      <c r="U2" s="15"/>
    </row>
    <row r="3" spans="1:22" x14ac:dyDescent="0.35">
      <c r="U3" s="12" t="s">
        <v>79</v>
      </c>
    </row>
    <row r="4" spans="1:22" ht="18" customHeight="1" x14ac:dyDescent="0.35">
      <c r="A4" s="5" t="s">
        <v>80</v>
      </c>
      <c r="B4" s="25" t="s">
        <v>8</v>
      </c>
      <c r="C4" s="16" t="str">
        <f>IF(B4=Data!$B$3,Data!$F$3,IF(B4=Data!$B$4,Data!$F$4,IF(B4=Data!$B$5,Data!$F$5,IF(B4=Data!$B$6,Data!$F$6,IF(B4=Data!$B$7,Data!$F$7,IF(B4=Data!$B$8,Data!$F$8,IF(B4=Data!$B$9,Data!$F$9,IF(B4=Data!$B$10,Data!$F$10,IF(B4=Data!$B$11,Data!$F$11," ")))))))))</f>
        <v>Nombre imagen:</v>
      </c>
      <c r="D4" s="24"/>
      <c r="E4" s="16" t="str">
        <f>IF(B4=Data!$B$3,Data!$H$3,IF(B4=Data!$B$4,Data!$H$4,IF(B4=Data!$B$5,Data!$H$5,IF(B4=Data!$B$6,Data!$H$6,IF(B4=Data!$B$7,Data!$H$7,IF(B4=Data!$B$8,Data!$H$8,IF(B4=Data!$B$9,Data!$H$9,IF(B4=Data!$B$10,Data!$H$10,IF(B4=Data!$B$11,Data!$H$11," ")))))))))</f>
        <v>Alt imagen:</v>
      </c>
      <c r="F4" s="21"/>
      <c r="G4" s="16" t="str">
        <f>IF(B4=Data!$B$4,Data!$J$4,IF(B4=Data!$B$5,Data!$J$5,IF(B4=Data!$B$6,Data!$J$6,IF(B4=Data!$B$7,Data!$I$7,IF(B4=Data!$B$8,Data!$J$8,IF(B4=Data!$B$9,Data!$J$9,IF(B4=Data!$B$10,Data!$J$10," ")))))))</f>
        <v xml:space="preserve"> </v>
      </c>
      <c r="H4" s="20"/>
      <c r="I4" s="16" t="str">
        <f>IF(B4=Data!$B$5,Data!$L$5,IF(B4=Data!$B$6,Data!$L$6,IF(B4=Data!$B$7,Data!$J$7,IF(B4=Data!$B$8,Data!$L$8,IF(B4=Data!$B$9,Data!$L$9," ")))))</f>
        <v xml:space="preserve"> </v>
      </c>
      <c r="J4" s="20"/>
      <c r="K4" s="16" t="str">
        <f>IF(B4=Data!$B$7,Data!$K$7,IF(B4=Data!$B$9,Data!$N$9," "))</f>
        <v xml:space="preserve"> </v>
      </c>
      <c r="L4" s="16"/>
      <c r="M4" s="16" t="str">
        <f>IF(B4=Data!$B$7,Data!$M$7,IF(B4=Data!$B$9,Data!$P$9," "))</f>
        <v xml:space="preserve"> </v>
      </c>
      <c r="N4" s="16"/>
      <c r="O4" s="16" t="str">
        <f>IF(B4=Data!$B$7,Data!$N$7,IF(B4=Data!$B$9,Data!$R$9," "))</f>
        <v xml:space="preserve"> </v>
      </c>
      <c r="P4" s="16"/>
      <c r="Q4" s="16" t="str">
        <f>IF(B4=Data!$B$7,Data!$O$7,IF(B4=Data!$B$9,Data!$T$9," "))</f>
        <v xml:space="preserve"> </v>
      </c>
      <c r="R4" s="16"/>
      <c r="S4" s="16" t="str">
        <f>IF(B4=Data!$B$7,Data!$P$7," ")</f>
        <v xml:space="preserve"> </v>
      </c>
      <c r="T4" s="16"/>
      <c r="U4" s="12" t="str">
        <f>IF(Formulario!B4=Data!$B$3,CONCATENATE(Data!$E$3,Formulario!D4,Data!$G$3,Formulario!F4,Data!$I$3),IF(Formulario!B4=Data!$B$4,CONCATENATE(Data!$E$4,Formulario!D4,Data!$G$4,Formulario!F4,Data!$I$4,Formulario!H4,Data!$K$4),IF(Formulario!B4=Data!$B$5,CONCATENATE(Data!$E$5,Formulario!D4,Data!$G$5,Formulario!F4,Data!$I$5,Formulario!H4,Data!$K$5,Formulario!J4,Data!$M$5),IF(Formulario!B4=Data!$B$6,CONCATENATE(Data!$E$6,Formulario!D4,Data!$G$6,Formulario!F4,Data!$I$6,Formulario!H4,Data!$K$6,Formulario!J4,Data!$M$6),IF(Formulario!B4=Data!$B$7,CONCATENATE(Data!$E$7,Formulario!D4,Data!$G$7,IF(NOT(ISBLANK(Formulario!F4)),"&lt;li&gt;"&amp;Formulario!F4&amp;"&lt;/li&gt;",""),IF(NOT(ISBLANK(Formulario!H4)),"&lt;li&gt;"&amp;Formulario!H4&amp;"&lt;/li&gt;",""),IF(NOT(ISBLANK(Formulario!J4)),"&lt;li&gt;"&amp;Formulario!J4&amp;"&lt;/li&gt;",""),IF(NOT(ISBLANK(Formulario!L4)),"&lt;li&gt;"&amp;Formulario!L4&amp;"&lt;/li&gt;",""),Data!$L$7,IF(NOT(ISBLANK(Formulario!N4)),"&lt;li&gt;"&amp;Formulario!N4&amp;"&lt;/li&gt;",""),IF(NOT(ISBLANK(Formulario!P4)),"&lt;li&gt;"&amp;Formulario!P4&amp;"&lt;/li&gt;",""),IF(NOT(ISBLANK(Formulario!R4)),"&lt;li&gt;"&amp;Formulario!R4&amp;"&lt;/li&gt;",""),IF(NOT(ISBLANK(Formulario!T4)),"&lt;li&gt;"&amp;Formulario!T4&amp;"&lt;/li&gt;",""),Data!$Q$7),IF(Formulario!B4=Data!$B$8,CONCATENATE(Data!$E$8,Formulario!D4,Data!$G$8,Formulario!F4,Data!$I$8,Formulario!H4,Data!$K$8,Formulario!J4,Data!$M$8),IF(Formulario!B4=Data!$B$9,CONCATENATE(Data!$E$9,Formulario!D4,Data!$G$9,Formulario!F4,Data!$I$9,Formulario!H4,Data!$K$9,Formulario!J4,Data!$M$9,Formulario!L4,Data!$O$9,Formulario!N4,Data!$Q$9,Formulario!P4,Data!$S$9,Formulario!R4,Data!$U$9),IF(Formulario!B4=Data!$B$10,CONCATENATE(Data!$E$10,Formulario!D4,Data!$G$10,Formulario!F4,Data!$I$10,Formulario!H4,Data!$K$10),IF(Formulario!B4=Data!$B$11,CONCATENATE(Data!$E$11,Formulario!D4,Data!$G$11,Formulario!F4,Data!$I$11,Formulario!H4,Data!$K$11)," ")))))))))</f>
        <v>&lt;div class="fb-product-information-tab__header separator"&gt;
  &lt;img src=https://media.falabella.com/falabellaCL/inpage_media//publicwidth=1160 height=480&gt;  &lt;/div&gt;</v>
      </c>
    </row>
    <row r="5" spans="1:22" x14ac:dyDescent="0.35">
      <c r="A5" s="6" t="s">
        <v>81</v>
      </c>
      <c r="B5" s="25" t="s">
        <v>15</v>
      </c>
      <c r="C5" s="16" t="str">
        <f>IF(B5=Data!$B$3,Data!$F$3,IF(B5=Data!$B$4,Data!$F$4,IF(B5=Data!$B$5,Data!$F$5,IF(B5=Data!$B$6,Data!$F$6,IF(B5=Data!$B$7,Data!$F$7,IF(B5=Data!$B$8,Data!$F$8,IF(B5=Data!$B$9,Data!$F$9,IF(B5=Data!$B$10,Data!$F$10,IF(B5=Data!$B$11,Data!$F$11," ")))))))))</f>
        <v>Título del párrafo:</v>
      </c>
      <c r="D5" s="20"/>
      <c r="E5" s="16" t="str">
        <f>IF(B5=Data!$B$3,Data!$H$3,IF(B5=Data!$B$4,Data!$H$4,IF(B5=Data!$B$5,Data!$H$5,IF(B5=Data!$B$6,Data!$H$6,IF(B5=Data!$B$7,Data!$H$7,IF(B5=Data!$B$8,Data!$H$8,IF(B5=Data!$B$9,Data!$H$9,IF(B5=Data!$B$10,Data!$H$10,IF(B5=Data!$B$11,Data!$H$11," ")))))))))</f>
        <v>Texto primera columna:</v>
      </c>
      <c r="F5" s="20"/>
      <c r="G5" s="16" t="str">
        <f>IF(B5=Data!$B$4,Data!$J$4,IF(B5=Data!$B$5,Data!$J$5,IF(B5=Data!$B$6,Data!$J$6,IF(B5=Data!$B$7,Data!$I$7,IF(B5=Data!$B$8,Data!$J$8,IF(B5=Data!$B$9,Data!$J$9,IF(B5=Data!$B$10,Data!$J$10," ")))))))</f>
        <v>Texto segunda columna:</v>
      </c>
      <c r="H5" s="20"/>
      <c r="I5" s="16" t="str">
        <f>IF(B5=Data!$B$5,Data!$L$5,IF(B5=Data!$B$6,Data!$L$6,IF(B5=Data!$B$7,Data!$J$7,IF(B5=Data!$B$8,Data!$L$8,IF(B5=Data!$B$9,Data!$L$9," ")))))</f>
        <v xml:space="preserve"> </v>
      </c>
      <c r="J5" s="20"/>
      <c r="K5" s="16" t="str">
        <f>IF(B5=Data!$B$7,Data!$K$7,IF(B5=Data!$B$9,Data!$N$9," "))</f>
        <v xml:space="preserve"> </v>
      </c>
      <c r="L5" s="16"/>
      <c r="M5" s="16" t="str">
        <f>IF(B5=Data!$B$7,Data!$M$7,IF(B5=Data!$B$9,Data!$P$9," "))</f>
        <v xml:space="preserve"> </v>
      </c>
      <c r="N5" s="16"/>
      <c r="O5" s="16" t="str">
        <f>IF(B5=Data!$B$7,Data!$N$7,IF(B5=Data!$B$9,Data!$R$9," "))</f>
        <v xml:space="preserve"> </v>
      </c>
      <c r="P5" s="16"/>
      <c r="Q5" s="16" t="str">
        <f>IF(B5=Data!$B$7,Data!$O$7,IF(B5=Data!$B$9,Data!$T$9," "))</f>
        <v xml:space="preserve"> </v>
      </c>
      <c r="R5" s="16"/>
      <c r="S5" s="16" t="str">
        <f>IF(B5=Data!$B$7,Data!$P$7," ")</f>
        <v xml:space="preserve"> </v>
      </c>
      <c r="T5" s="16"/>
      <c r="U5" s="12" t="str">
        <f>IF(Formulario!B5=Data!$B$3,CONCATENATE(Data!$E$3,Formulario!D5,Data!$G$3,Formulario!F5,Data!$I$3),IF(Formulario!B5=Data!$B$4,CONCATENATE(Data!$E$4,Formulario!D5,Data!$G$4,Formulario!F5,Data!$I$4,Formulario!H5,Data!$K$4),IF(Formulario!B5=Data!$B$5,CONCATENATE(Data!$E$5,Formulario!D5,Data!$G$5,Formulario!F5,Data!$I$5,Formulario!H5,Data!$K$5,Formulario!J5,Data!$M$5),IF(Formulario!B5=Data!$B$6,CONCATENATE(Data!$E$6,Formulario!D5,Data!$G$6,Formulario!F5,Data!$I$6,Formulario!H5,Data!$K$6,Formulario!J5,Data!$M$6),IF(Formulario!B5=Data!$B$7,CONCATENATE(Data!$E$7,Formulario!D5,Data!$G$7,IF(NOT(ISBLANK(Formulario!F5)),"&lt;li&gt;"&amp;Formulario!F5&amp;"&lt;/li&gt;",""),IF(NOT(ISBLANK(Formulario!H5)),"&lt;li&gt;"&amp;Formulario!H5&amp;"&lt;/li&gt;",""),IF(NOT(ISBLANK(Formulario!J5)),"&lt;li&gt;"&amp;Formulario!J5&amp;"&lt;/li&gt;",""),IF(NOT(ISBLANK(Formulario!L5)),"&lt;li&gt;"&amp;Formulario!L5&amp;"&lt;/li&gt;",""),Data!$L$7,IF(NOT(ISBLANK(Formulario!N5)),"&lt;li&gt;"&amp;Formulario!N5&amp;"&lt;/li&gt;",""),IF(NOT(ISBLANK(Formulario!P5)),"&lt;li&gt;"&amp;Formulario!P5&amp;"&lt;/li&gt;",""),IF(NOT(ISBLANK(Formulario!R5)),"&lt;li&gt;"&amp;Formulario!R5&amp;"&lt;/li&gt;",""),IF(NOT(ISBLANK(Formulario!T5)),"&lt;li&gt;"&amp;Formulario!T5&amp;"&lt;/li&gt;",""),Data!$Q$7),IF(Formulario!B5=Data!$B$8,CONCATENATE(Data!$E$8,Formulario!D5,Data!$G$8,Formulario!F5,Data!$I$8,Formulario!H5,Data!$K$8,Formulario!J5,Data!$M$8),IF(Formulario!B5=Data!$B$9,CONCATENATE(Data!$E$9,Formulario!D5,Data!$G$9,Formulario!F5,Data!$I$9,Formulario!H5,Data!$K$9,Formulario!J5,Data!$M$9,Formulario!L5,Data!$O$9,Formulario!N5,Data!$Q$9,Formulario!P5,Data!$S$9,Formulario!R5,Data!$U$9),IF(Formulario!B5=Data!$B$10,CONCATENATE(Data!$E$10,Formulario!D5,Data!$G$10,Formulario!F5,Data!$I$10,Formulario!H5,Data!$K$10),IF(Formulario!B5=Data!$B$11,CONCATENATE(Data!$E$11,Formulario!D5,Data!$G$11,Formulario!F5,Data!$I$11,Formulario!H5,Data!$K$11)," ")))))))))</f>
        <v>&lt;div class="fb-product-information-tab__text separator"&gt;
  &lt;div class="fb-product-information-tab__text-first"&gt;
    &lt;h3 class="fb-cpy-bold"&gt;&lt;/h3&gt;
    &lt;p class="fb-cpy-small"&gt;&lt;/p&gt;
  &lt;/div&gt;&lt;div class="fb-product-information-tab__text-second"&gt;
    &lt;h3 class="fb-cpy-bold"&gt; &lt;/h3&gt;
    &lt;p class="fb-cpy-small"&gt;&lt;/p&gt;
  &lt;/div&gt;
&lt;/div&gt;</v>
      </c>
    </row>
    <row r="6" spans="1:22" x14ac:dyDescent="0.35">
      <c r="A6" s="6" t="s">
        <v>82</v>
      </c>
      <c r="B6" s="25" t="s">
        <v>25</v>
      </c>
      <c r="C6" s="16" t="str">
        <f>IF(B6=Data!$B$3,Data!$F$3,IF(B6=Data!$B$4,Data!$F$4,IF(B6=Data!$B$5,Data!$F$5,IF(B6=Data!$B$6,Data!$F$6,IF(B6=Data!$B$7,Data!$F$7,IF(B6=Data!$B$8,Data!$F$8,IF(B6=Data!$B$9,Data!$F$9,IF(B6=Data!$B$10,Data!$F$10,IF(B6=Data!$B$11,Data!$F$11," ")))))))))</f>
        <v>Nombre imagen:</v>
      </c>
      <c r="D6" s="20"/>
      <c r="E6" s="16" t="str">
        <f>IF(B6=Data!$B$3,Data!$H$3,IF(B6=Data!$B$4,Data!$H$4,IF(B6=Data!$B$5,Data!$H$5,IF(B6=Data!$B$6,Data!$H$6,IF(B6=Data!$B$7,Data!$H$7,IF(B6=Data!$B$8,Data!$H$8,IF(B6=Data!$B$9,Data!$H$9,IF(B6=Data!$B$10,Data!$H$10,IF(B6=Data!$B$11,Data!$H$11," ")))))))))</f>
        <v>Alt imagen:</v>
      </c>
      <c r="F6" s="20"/>
      <c r="G6" s="16" t="str">
        <f>IF(B6=Data!$B$4,Data!$J$4,IF(B6=Data!$B$5,Data!$J$5,IF(B6=Data!$B$6,Data!$J$6,IF(B6=Data!$B$7,Data!$I$7,IF(B6=Data!$B$8,Data!$J$8,IF(B6=Data!$B$9,Data!$J$9,IF(B6=Data!$B$10,Data!$J$10," ")))))))</f>
        <v>Título del párrafo:</v>
      </c>
      <c r="H6" s="20"/>
      <c r="I6" s="16" t="str">
        <f>IF(B6=Data!$B$5,Data!$L$5,IF(B6=Data!$B$6,Data!$L$6,IF(B6=Data!$B$7,Data!$J$7,IF(B6=Data!$B$8,Data!$L$8,IF(B6=Data!$B$9,Data!$L$9," ")))))</f>
        <v>Texto del párrafo:</v>
      </c>
      <c r="J6" s="20"/>
      <c r="K6" s="16" t="str">
        <f>IF(B6=Data!$B$7,Data!$K$7,IF(B6=Data!$B$9,Data!$N$9," "))</f>
        <v xml:space="preserve"> </v>
      </c>
      <c r="L6" s="16"/>
      <c r="M6" s="16" t="str">
        <f>IF(B6=Data!$B$7,Data!$M$7,IF(B6=Data!$B$9,Data!$P$9," "))</f>
        <v xml:space="preserve"> </v>
      </c>
      <c r="N6" s="16"/>
      <c r="O6" s="16" t="str">
        <f>IF(B6=Data!$B$7,Data!$N$7,IF(B6=Data!$B$9,Data!$R$9," "))</f>
        <v xml:space="preserve"> </v>
      </c>
      <c r="P6" s="16"/>
      <c r="Q6" s="16" t="str">
        <f>IF(B6=Data!$B$7,Data!$O$7,IF(B6=Data!$B$9,Data!$T$9," "))</f>
        <v xml:space="preserve"> </v>
      </c>
      <c r="R6" s="16"/>
      <c r="S6" s="16" t="str">
        <f>IF(B6=Data!$B$7,Data!$P$7," ")</f>
        <v xml:space="preserve"> </v>
      </c>
      <c r="T6" s="16"/>
      <c r="U6" s="12" t="str">
        <f>IF(Formulario!B6=Data!$B$3,CONCATENATE(Data!$E$3,Formulario!D6,Data!$G$3,Formulario!F6,Data!$I$3),IF(Formulario!B6=Data!$B$4,CONCATENATE(Data!$E$4,Formulario!D6,Data!$G$4,Formulario!F6,Data!$I$4,Formulario!H6,Data!$K$4),IF(Formulario!B6=Data!$B$5,CONCATENATE(Data!$E$5,Formulario!D6,Data!$G$5,Formulario!F6,Data!$I$5,Formulario!H6,Data!$K$5,Formulario!J6,Data!$M$5),IF(Formulario!B6=Data!$B$6,CONCATENATE(Data!$E$6,Formulario!D6,Data!$G$6,Formulario!F6,Data!$I$6,Formulario!H6,Data!$K$6,Formulario!J6,Data!$M$6),IF(Formulario!B6=Data!$B$7,CONCATENATE(Data!$E$7,Formulario!D6,Data!$G$7,IF(NOT(ISBLANK(Formulario!F6)),"&lt;li&gt;"&amp;Formulario!F6&amp;"&lt;/li&gt;",""),IF(NOT(ISBLANK(Formulario!H6)),"&lt;li&gt;"&amp;Formulario!H6&amp;"&lt;/li&gt;",""),IF(NOT(ISBLANK(Formulario!J6)),"&lt;li&gt;"&amp;Formulario!J6&amp;"&lt;/li&gt;",""),IF(NOT(ISBLANK(Formulario!L6)),"&lt;li&gt;"&amp;Formulario!L6&amp;"&lt;/li&gt;",""),Data!$L$7,IF(NOT(ISBLANK(Formulario!N6)),"&lt;li&gt;"&amp;Formulario!N6&amp;"&lt;/li&gt;",""),IF(NOT(ISBLANK(Formulario!P6)),"&lt;li&gt;"&amp;Formulario!P6&amp;"&lt;/li&gt;",""),IF(NOT(ISBLANK(Formulario!R6)),"&lt;li&gt;"&amp;Formulario!R6&amp;"&lt;/li&gt;",""),IF(NOT(ISBLANK(Formulario!T6)),"&lt;li&gt;"&amp;Formulario!T6&amp;"&lt;/li&gt;",""),Data!$Q$7),IF(Formulario!B6=Data!$B$8,CONCATENATE(Data!$E$8,Formulario!D6,Data!$G$8,Formulario!F6,Data!$I$8,Formulario!H6,Data!$K$8,Formulario!J6,Data!$M$8),IF(Formulario!B6=Data!$B$9,CONCATENATE(Data!$E$9,Formulario!D6,Data!$G$9,Formulario!F6,Data!$I$9,Formulario!H6,Data!$K$9,Formulario!J6,Data!$M$9,Formulario!L6,Data!$O$9,Formulario!N6,Data!$Q$9,Formulario!P6,Data!$S$9,Formulario!R6,Data!$U$9),IF(Formulario!B6=Data!$B$10,CONCATENATE(Data!$E$10,Formulario!D6,Data!$G$10,Formulario!F6,Data!$I$10,Formulario!H6,Data!$K$10),IF(Formulario!B6=Data!$B$11,CONCATENATE(Data!$E$11,Formulario!D6,Data!$G$11,Formulario!F6,Data!$I$11,Formulario!H6,Data!$K$11)," ")))))))))</f>
        <v>&lt;div class="fb-product-information-tab__picture-text separator"&gt;
  &lt;div class="fb-product-information-tab__picture-text-first"&gt;
    &lt;img src=https://media.falabella.com/falabellaCL/inpage_media//publicwidth=560 height=315&gt;
  &lt;/div&gt;
  &lt;div class="fb-product-information-tab__picture-text-second"&gt;
    &lt;h3 class="fb-cpy-bold"&gt;&lt;/h3&gt;
    &lt;p class="fb-cpy-small"&gt;&lt;/p&gt;
  &lt;/div&gt;
&lt;/div&gt;</v>
      </c>
    </row>
    <row r="7" spans="1:22" ht="16.5" customHeight="1" x14ac:dyDescent="0.35">
      <c r="A7" s="6" t="s">
        <v>83</v>
      </c>
      <c r="B7" s="25" t="s">
        <v>31</v>
      </c>
      <c r="C7" s="16" t="str">
        <f>IF(B7=Data!$B$3,Data!$F$3,IF(B7=Data!$B$4,Data!$F$4,IF(B7=Data!$B$5,Data!$F$5,IF(B7=Data!$B$6,Data!$F$6,IF(B7=Data!$B$7,Data!$F$7,IF(B7=Data!$B$8,Data!$F$8,IF(B7=Data!$B$9,Data!$F$9,IF(B7=Data!$B$10,Data!$F$10,IF(B7=Data!$B$11,Data!$F$11," ")))))))))</f>
        <v>Título del párrafo:</v>
      </c>
      <c r="D7" s="20"/>
      <c r="E7" s="16" t="str">
        <f>IF(B7=Data!$B$3,Data!$H$3,IF(B7=Data!$B$4,Data!$H$4,IF(B7=Data!$B$5,Data!$H$5,IF(B7=Data!$B$6,Data!$H$6,IF(B7=Data!$B$7,Data!$H$7,IF(B7=Data!$B$8,Data!$H$8,IF(B7=Data!$B$9,Data!$H$9,IF(B7=Data!$B$10,Data!$H$10,IF(B7=Data!$B$11,Data!$H$11," ")))))))))</f>
        <v>Texto del párrafo:</v>
      </c>
      <c r="F7" s="21"/>
      <c r="G7" s="16" t="str">
        <f>IF(B7=Data!$B$4,Data!$J$4,IF(B7=Data!$B$5,Data!$J$5,IF(B7=Data!$B$6,Data!$J$6,IF(B7=Data!$B$7,Data!$I$7,IF(B7=Data!$B$8,Data!$J$8,IF(B7=Data!$B$9,Data!$J$9,IF(B7=Data!$B$10,Data!$J$10," ")))))))</f>
        <v>Nombre imagen:</v>
      </c>
      <c r="H7" s="20"/>
      <c r="I7" s="16" t="str">
        <f>IF(B7=Data!$B$5,Data!$L$5,IF(B7=Data!$B$6,Data!$L$6,IF(B7=Data!$B$7,Data!$J$7,IF(B7=Data!$B$8,Data!$L$8,IF(B7=Data!$B$9,Data!$L$9," ")))))</f>
        <v>Alt imagen:</v>
      </c>
      <c r="J7" s="20"/>
      <c r="K7" s="16" t="str">
        <f>IF(B7=Data!$B$7,Data!$K$7,IF(B7=Data!$B$9,Data!$N$9," "))</f>
        <v xml:space="preserve"> </v>
      </c>
      <c r="L7" s="16"/>
      <c r="M7" s="16" t="str">
        <f>IF(B7=Data!$B$7,Data!$M$7,IF(B7=Data!$B$9,Data!$P$9," "))</f>
        <v xml:space="preserve"> </v>
      </c>
      <c r="N7" s="16"/>
      <c r="O7" s="16" t="str">
        <f>IF(B7=Data!$B$7,Data!$N$7,IF(B7=Data!$B$9,Data!$R$9," "))</f>
        <v xml:space="preserve"> </v>
      </c>
      <c r="P7" s="16"/>
      <c r="Q7" s="16" t="str">
        <f>IF(B7=Data!$B$7,Data!$O$7,IF(B7=Data!$B$9,Data!$T$9," "))</f>
        <v xml:space="preserve"> </v>
      </c>
      <c r="R7" s="16"/>
      <c r="S7" s="16" t="str">
        <f>IF(B7=Data!$B$7,Data!$P$7," ")</f>
        <v xml:space="preserve"> </v>
      </c>
      <c r="T7" s="16"/>
      <c r="U7" s="12" t="str">
        <f>IF(Formulario!B7=Data!$B$3,CONCATENATE(Data!$E$3,Formulario!D7,Data!$G$3,Formulario!F7,Data!$I$3),IF(Formulario!B7=Data!$B$4,CONCATENATE(Data!$E$4,Formulario!D7,Data!$G$4,Formulario!F7,Data!$I$4,Formulario!H7,Data!$K$4),IF(Formulario!B7=Data!$B$5,CONCATENATE(Data!$E$5,Formulario!D7,Data!$G$5,Formulario!F7,Data!$I$5,Formulario!H7,Data!$K$5,Formulario!J7,Data!$M$5),IF(Formulario!B7=Data!$B$6,CONCATENATE(Data!$E$6,Formulario!D7,Data!$G$6,Formulario!F7,Data!$I$6,Formulario!H7,Data!$K$6,Formulario!J7,Data!$M$6),IF(Formulario!B7=Data!$B$7,CONCATENATE(Data!$E$7,Formulario!D7,Data!$G$7,IF(NOT(ISBLANK(Formulario!F7)),"&lt;li&gt;"&amp;Formulario!F7&amp;"&lt;/li&gt;",""),IF(NOT(ISBLANK(Formulario!H7)),"&lt;li&gt;"&amp;Formulario!H7&amp;"&lt;/li&gt;",""),IF(NOT(ISBLANK(Formulario!J7)),"&lt;li&gt;"&amp;Formulario!J7&amp;"&lt;/li&gt;",""),IF(NOT(ISBLANK(Formulario!L7)),"&lt;li&gt;"&amp;Formulario!L7&amp;"&lt;/li&gt;",""),Data!$L$7,IF(NOT(ISBLANK(Formulario!N7)),"&lt;li&gt;"&amp;Formulario!N7&amp;"&lt;/li&gt;",""),IF(NOT(ISBLANK(Formulario!P7)),"&lt;li&gt;"&amp;Formulario!P7&amp;"&lt;/li&gt;",""),IF(NOT(ISBLANK(Formulario!R7)),"&lt;li&gt;"&amp;Formulario!R7&amp;"&lt;/li&gt;",""),IF(NOT(ISBLANK(Formulario!T7)),"&lt;li&gt;"&amp;Formulario!T7&amp;"&lt;/li&gt;",""),Data!$Q$7),IF(Formulario!B7=Data!$B$8,CONCATENATE(Data!$E$8,Formulario!D7,Data!$G$8,Formulario!F7,Data!$I$8,Formulario!H7,Data!$K$8,Formulario!J7,Data!$M$8),IF(Formulario!B7=Data!$B$9,CONCATENATE(Data!$E$9,Formulario!D7,Data!$G$9,Formulario!F7,Data!$I$9,Formulario!H7,Data!$K$9,Formulario!J7,Data!$M$9,Formulario!L7,Data!$O$9,Formulario!N7,Data!$Q$9,Formulario!P7,Data!$S$9,Formulario!R7,Data!$U$9),IF(Formulario!B7=Data!$B$10,CONCATENATE(Data!$E$10,Formulario!D7,Data!$G$10,Formulario!F7,Data!$I$10,Formulario!H7,Data!$K$10),IF(Formulario!B7=Data!$B$11,CONCATENATE(Data!$E$11,Formulario!D7,Data!$G$11,Formulario!F7,Data!$I$11,Formulario!H7,Data!$K$11)," ")))))))))</f>
        <v>&lt;div class="fb-product-information-tab__picture-text separator"&gt;
  &lt;div class="fb-product-information-tab__picture-text-first orderFix"&gt;
    &lt;h3 class="fb-cpy-bold"&gt;&lt;/h3&gt;
    &lt;p class="fb-cpy-small"&gt;&lt;/p&gt;
  &lt;/div&gt;
  &lt;div class="fb-product-information-tab__picture-text-second orderFix"&gt;
    &lt;img src=https://media.falabella.com/falabellaCL/inpage_media//publicwidth=560 height=315&gt;
  &lt;/div&gt;
&lt;/div&gt;</v>
      </c>
    </row>
    <row r="8" spans="1:22" x14ac:dyDescent="0.35">
      <c r="A8" s="6" t="s">
        <v>84</v>
      </c>
      <c r="B8" s="25" t="s">
        <v>35</v>
      </c>
      <c r="C8" s="16" t="str">
        <f>IF(B8=Data!$B$3,Data!$F$3,IF(B8=Data!$B$4,Data!$F$4,IF(B8=Data!$B$5,Data!$F$5,IF(B8=Data!$B$6,Data!$F$6,IF(B8=Data!$B$7,Data!$F$7,IF(B8=Data!$B$8,Data!$F$8,IF(B8=Data!$B$9,Data!$F$9,IF(B8=Data!$B$10,Data!$F$10,IF(B8=Data!$B$11,Data!$F$11," ")))))))))</f>
        <v>Título del párrafo:</v>
      </c>
      <c r="D8" s="20"/>
      <c r="E8" s="16" t="str">
        <f>IF(B8=Data!$B$3,Data!$H$3,IF(B8=Data!$B$4,Data!$H$4,IF(B8=Data!$B$5,Data!$H$5,IF(B8=Data!$B$6,Data!$H$6,IF(B8=Data!$B$7,Data!$H$7,IF(B8=Data!$B$8,Data!$H$8,IF(B8=Data!$B$9,Data!$H$9,IF(B8=Data!$B$10,Data!$H$10,IF(B8=Data!$B$11,Data!$H$11," ")))))))))</f>
        <v>item 1:</v>
      </c>
      <c r="F8" s="20"/>
      <c r="G8" s="16" t="str">
        <f>IF(B8=Data!$B$4,Data!$J$4,IF(B8=Data!$B$5,Data!$J$5,IF(B8=Data!$B$6,Data!$J$6,IF(B8=Data!$B$7,Data!$I$7,IF(B8=Data!$B$8,Data!$J$8,IF(B8=Data!$B$9,Data!$J$9,IF(B8=Data!$B$10,Data!$J$10," ")))))))</f>
        <v>item 2:</v>
      </c>
      <c r="H8" s="20"/>
      <c r="I8" s="16" t="str">
        <f>IF(B8=Data!$B$5,Data!$L$5,IF(B8=Data!$B$6,Data!$L$6,IF(B8=Data!$B$7,Data!$J$7,IF(B8=Data!$B$8,Data!$L$8,IF(B8=Data!$B$9,Data!$L$9," ")))))</f>
        <v>item 3:</v>
      </c>
      <c r="J8" s="20"/>
      <c r="K8" s="16" t="str">
        <f>IF(B8=Data!$B$7,Data!$K$7,IF(B8=Data!$B$9,Data!$N$9," "))</f>
        <v>item 4:</v>
      </c>
      <c r="L8" s="16"/>
      <c r="M8" s="16" t="str">
        <f>IF(B8=Data!$B$7,Data!$M$7,IF(B8=Data!$B$9,Data!$P$9," "))</f>
        <v>item 5:</v>
      </c>
      <c r="N8" s="16"/>
      <c r="O8" s="16" t="str">
        <f>IF(B8=Data!$B$7,Data!$N$7,IF(B8=Data!$B$9,Data!$R$9," "))</f>
        <v>item 6:</v>
      </c>
      <c r="P8" s="16"/>
      <c r="Q8" s="16" t="str">
        <f>IF(B8=Data!$B$7,Data!$O$7,IF(B8=Data!$B$9,Data!$T$9," "))</f>
        <v>item 7:</v>
      </c>
      <c r="R8" s="16"/>
      <c r="S8" s="16" t="str">
        <f>IF(B8=Data!$B$7,Data!$P$7," ")</f>
        <v>item 8:</v>
      </c>
      <c r="T8" s="16"/>
      <c r="U8" s="12" t="str">
        <f>IF(Formulario!B8=Data!$B$3,CONCATENATE(Data!$E$3,Formulario!D8,Data!$G$3,Formulario!F8,Data!$I$3),IF(Formulario!B8=Data!$B$4,CONCATENATE(Data!$E$4,Formulario!D8,Data!$G$4,Formulario!F8,Data!$I$4,Formulario!H8,Data!$K$4),IF(Formulario!B8=Data!$B$5,CONCATENATE(Data!$E$5,Formulario!D8,Data!$G$5,Formulario!F8,Data!$I$5,Formulario!H8,Data!$K$5,Formulario!J8,Data!$M$5),IF(Formulario!B8=Data!$B$6,CONCATENATE(Data!$E$6,Formulario!D8,Data!$G$6,Formulario!F8,Data!$I$6,Formulario!H8,Data!$K$6,Formulario!J8,Data!$M$6),IF(Formulario!B8=Data!$B$7,CONCATENATE(Data!$E$7,Formulario!D8,Data!$G$7,IF(NOT(ISBLANK(Formulario!F8)),"&lt;li&gt;"&amp;Formulario!F8&amp;"&lt;/li&gt;",""),IF(NOT(ISBLANK(Formulario!H8)),"&lt;li&gt;"&amp;Formulario!H8&amp;"&lt;/li&gt;",""),IF(NOT(ISBLANK(Formulario!J8)),"&lt;li&gt;"&amp;Formulario!J8&amp;"&lt;/li&gt;",""),IF(NOT(ISBLANK(Formulario!L8)),"&lt;li&gt;"&amp;Formulario!L8&amp;"&lt;/li&gt;",""),Data!$L$7,IF(NOT(ISBLANK(Formulario!N8)),"&lt;li&gt;"&amp;Formulario!N8&amp;"&lt;/li&gt;",""),IF(NOT(ISBLANK(Formulario!P8)),"&lt;li&gt;"&amp;Formulario!P8&amp;"&lt;/li&gt;",""),IF(NOT(ISBLANK(Formulario!R8)),"&lt;li&gt;"&amp;Formulario!R8&amp;"&lt;/li&gt;",""),IF(NOT(ISBLANK(Formulario!T8)),"&lt;li&gt;"&amp;Formulario!T8&amp;"&lt;/li&gt;",""),Data!$Q$7),IF(Formulario!B8=Data!$B$8,CONCATENATE(Data!$E$8,Formulario!D8,Data!$G$8,Formulario!F8,Data!$I$8,Formulario!H8,Data!$K$8,Formulario!J8,Data!$M$8),IF(Formulario!B8=Data!$B$9,CONCATENATE(Data!$E$9,Formulario!D8,Data!$G$9,Formulario!F8,Data!$I$9,Formulario!H8,Data!$K$9,Formulario!J8,Data!$M$9,Formulario!L8,Data!$O$9,Formulario!N8,Data!$Q$9,Formulario!P8,Data!$S$9,Formulario!R8,Data!$U$9),IF(Formulario!B8=Data!$B$10,CONCATENATE(Data!$E$10,Formulario!D8,Data!$G$10,Formulario!F8,Data!$I$10,Formulario!H8,Data!$K$10),IF(Formulario!B8=Data!$B$11,CONCATENATE(Data!$E$11,Formulario!D8,Data!$G$11,Formulario!F8,Data!$I$11,Formulario!H8,Data!$K$11)," ")))))))))</f>
        <v xml:space="preserve">&lt;div class="fb-product-information-tab__text separator"&gt;
  &lt;div class="fb-product-information-tab__text-first"&gt;
    &lt;h3 class="fb-cpy-bold"&gt;&lt;/h3&gt;
    &lt;ul class="fb-cpy-small fb-list"&gt;    &lt;/ul&gt;
  &lt;/div&gt;
  &lt;div class="fb-product-information-tab__text-second"&gt;
    &lt;h3 class="fb-cpy-bold"&gt;&amp;nbsp;&lt;/h3&gt;
    &lt;ul class="fb-cpy-small fb-list"&gt;  &lt;/ul&gt;
  &lt;/div&gt;
&lt;/div&gt;
</v>
      </c>
    </row>
    <row r="9" spans="1:22" x14ac:dyDescent="0.35">
      <c r="A9" s="6" t="s">
        <v>85</v>
      </c>
      <c r="B9" s="25" t="s">
        <v>48</v>
      </c>
      <c r="C9" s="16" t="str">
        <f>IF(B9=Data!$B$3,Data!$F$3,IF(B9=Data!$B$4,Data!$F$4,IF(B9=Data!$B$5,Data!$F$5,IF(B9=Data!$B$6,Data!$F$6,IF(B9=Data!$B$7,Data!$F$7,IF(B9=Data!$B$8,Data!$F$8,IF(B9=Data!$B$9,Data!$F$9,IF(B9=Data!$B$10,Data!$F$10,IF(B9=Data!$B$11,Data!$F$11," ")))))))))</f>
        <v>Nombre imagen:</v>
      </c>
      <c r="D9" s="20"/>
      <c r="E9" s="16" t="str">
        <f>IF(B9=Data!$B$3,Data!$H$3,IF(B9=Data!$B$4,Data!$H$4,IF(B9=Data!$B$5,Data!$H$5,IF(B9=Data!$B$6,Data!$H$6,IF(B9=Data!$B$7,Data!$H$7,IF(B9=Data!$B$8,Data!$H$8,IF(B9=Data!$B$9,Data!$H$9,IF(B9=Data!$B$10,Data!$H$10,IF(B9=Data!$B$11,Data!$H$11," ")))))))))</f>
        <v>Alt imagen:</v>
      </c>
      <c r="F9" s="21"/>
      <c r="G9" s="16" t="str">
        <f>IF(B9=Data!$B$4,Data!$J$4,IF(B9=Data!$B$5,Data!$J$5,IF(B9=Data!$B$6,Data!$J$6,IF(B9=Data!$B$7,Data!$I$7,IF(B9=Data!$B$8,Data!$J$8,IF(B9=Data!$B$9,Data!$J$9,IF(B9=Data!$B$10,Data!$J$10," ")))))))</f>
        <v>Título del párrafo:</v>
      </c>
      <c r="H9" s="20"/>
      <c r="I9" s="16" t="str">
        <f>IF(B9=Data!$B$5,Data!$L$5,IF(B9=Data!$B$6,Data!$L$6,IF(B9=Data!$B$7,Data!$J$7,IF(B9=Data!$B$8,Data!$L$8,IF(B9=Data!$B$9,Data!$L$9," ")))))</f>
        <v>Texto del párrafo:</v>
      </c>
      <c r="J9" s="20"/>
      <c r="K9" s="16" t="str">
        <f>IF(B9=Data!$B$7,Data!$K$7,IF(B9=Data!$B$9,Data!$N$9," "))</f>
        <v xml:space="preserve"> </v>
      </c>
      <c r="L9" s="16"/>
      <c r="M9" s="16" t="str">
        <f>IF(B9=Data!$B$7,Data!$M$7,IF(B9=Data!$B$9,Data!$P$9," "))</f>
        <v xml:space="preserve"> </v>
      </c>
      <c r="N9" s="16"/>
      <c r="O9" s="16" t="str">
        <f>IF(B9=Data!$B$7,Data!$N$7,IF(B9=Data!$B$9,Data!$R$9," "))</f>
        <v xml:space="preserve"> </v>
      </c>
      <c r="P9" s="16"/>
      <c r="Q9" s="16" t="str">
        <f>IF(B9=Data!$B$7,Data!$O$7,IF(B9=Data!$B$9,Data!$T$9," "))</f>
        <v xml:space="preserve"> </v>
      </c>
      <c r="R9" s="16"/>
      <c r="S9" s="16" t="str">
        <f>IF(B9=Data!$B$7,Data!$P$7," ")</f>
        <v xml:space="preserve"> </v>
      </c>
      <c r="T9" s="16"/>
      <c r="U9" s="12" t="str">
        <f>IF(Formulario!B9=Data!$B$3,CONCATENATE(Data!$E$3,Formulario!D9,Data!$G$3,Formulario!F9,Data!$I$3),IF(Formulario!B9=Data!$B$4,CONCATENATE(Data!$E$4,Formulario!D9,Data!$G$4,Formulario!F9,Data!$I$4,Formulario!H9,Data!$K$4),IF(Formulario!B9=Data!$B$5,CONCATENATE(Data!$E$5,Formulario!D9,Data!$G$5,Formulario!F9,Data!$I$5,Formulario!H9,Data!$K$5,Formulario!J9,Data!$M$5),IF(Formulario!B9=Data!$B$6,CONCATENATE(Data!$E$6,Formulario!D9,Data!$G$6,Formulario!F9,Data!$I$6,Formulario!H9,Data!$K$6,Formulario!J9,Data!$M$6),IF(Formulario!B9=Data!$B$7,CONCATENATE(Data!$E$7,Formulario!D9,Data!$G$7,IF(NOT(ISBLANK(Formulario!F9)),"&lt;li&gt;"&amp;Formulario!F9&amp;"&lt;/li&gt;",""),IF(NOT(ISBLANK(Formulario!H9)),"&lt;li&gt;"&amp;Formulario!H9&amp;"&lt;/li&gt;",""),IF(NOT(ISBLANK(Formulario!J9)),"&lt;li&gt;"&amp;Formulario!J9&amp;"&lt;/li&gt;",""),IF(NOT(ISBLANK(Formulario!L9)),"&lt;li&gt;"&amp;Formulario!L9&amp;"&lt;/li&gt;",""),Data!$L$7,IF(NOT(ISBLANK(Formulario!N9)),"&lt;li&gt;"&amp;Formulario!N9&amp;"&lt;/li&gt;",""),IF(NOT(ISBLANK(Formulario!P9)),"&lt;li&gt;"&amp;Formulario!P9&amp;"&lt;/li&gt;",""),IF(NOT(ISBLANK(Formulario!R9)),"&lt;li&gt;"&amp;Formulario!R9&amp;"&lt;/li&gt;",""),IF(NOT(ISBLANK(Formulario!T9)),"&lt;li&gt;"&amp;Formulario!T9&amp;"&lt;/li&gt;",""),Data!$Q$7),IF(Formulario!B9=Data!$B$8,CONCATENATE(Data!$E$8,Formulario!D9,Data!$G$8,Formulario!F9,Data!$I$8,Formulario!H9,Data!$K$8,Formulario!J9,Data!$M$8),IF(Formulario!B9=Data!$B$9,CONCATENATE(Data!$E$9,Formulario!D9,Data!$G$9,Formulario!F9,Data!$I$9,Formulario!H9,Data!$K$9,Formulario!J9,Data!$M$9,Formulario!L9,Data!$O$9,Formulario!N9,Data!$Q$9,Formulario!P9,Data!$S$9,Formulario!R9,Data!$U$9),IF(Formulario!B9=Data!$B$10,CONCATENATE(Data!$E$10,Formulario!D9,Data!$G$10,Formulario!F9,Data!$I$10,Formulario!H9,Data!$K$10),IF(Formulario!B9=Data!$B$11,CONCATENATE(Data!$E$11,Formulario!D9,Data!$G$11,Formulario!F9,Data!$I$11,Formulario!H9,Data!$K$11)," ")))))))))</f>
        <v>&lt;div class="fb-product-information-tab__banner separator"&gt;
  &lt;img src=https://media.falabella.com/falabellaCL/inpage_media//publicwidth=1160 height=360&gt;
  &lt;h3 class="fb-cpy-bold"&gt;&lt;/h3&gt;
  &lt;p class="fb-cpy-small"&gt;&lt;/p&gt;
&lt;/div&gt;</v>
      </c>
    </row>
    <row r="10" spans="1:22" x14ac:dyDescent="0.35">
      <c r="A10" s="6" t="s">
        <v>86</v>
      </c>
      <c r="B10" s="25" t="s">
        <v>55</v>
      </c>
      <c r="C10" s="16" t="str">
        <f>IF(B10=Data!$B$3,Data!$F$3,IF(B10=Data!$B$4,Data!$F$4,IF(B10=Data!$B$5,Data!$F$5,IF(B10=Data!$B$6,Data!$F$6,IF(B10=Data!$B$7,Data!$F$7,IF(B10=Data!$B$8,Data!$F$8,IF(B10=Data!$B$9,Data!$F$9,IF(B10=Data!$B$10,Data!$F$10,IF(B10=Data!$B$11,Data!$F$11," ")))))))))</f>
        <v>Nombre imagen izquierda:</v>
      </c>
      <c r="D10" s="20"/>
      <c r="E10" s="16" t="str">
        <f>IF(B10=Data!$B$3,Data!$H$3,IF(B10=Data!$B$4,Data!$H$4,IF(B10=Data!$B$5,Data!$H$5,IF(B10=Data!$B$6,Data!$H$6,IF(B10=Data!$B$7,Data!$H$7,IF(B10=Data!$B$8,Data!$H$8,IF(B10=Data!$B$9,Data!$H$9,IF(B10=Data!$B$10,Data!$H$10,IF(B10=Data!$B$11,Data!$H$11," ")))))))))</f>
        <v>Alt imagen izquierda:</v>
      </c>
      <c r="F10" s="20"/>
      <c r="G10" s="16" t="str">
        <f>IF(B10=Data!$B$4,Data!$J$4,IF(B10=Data!$B$5,Data!$J$5,IF(B10=Data!$B$6,Data!$J$6,IF(B10=Data!$B$7,Data!$I$7,IF(B10=Data!$B$8,Data!$J$8,IF(B10=Data!$B$9,Data!$J$9,IF(B10=Data!$B$10,Data!$J$10," ")))))))</f>
        <v>Título izquierdo:</v>
      </c>
      <c r="H10" s="20"/>
      <c r="I10" s="16" t="str">
        <f>IF(B10=Data!$B$5,Data!$L$5,IF(B10=Data!$B$6,Data!$L$6,IF(B10=Data!$B$7,Data!$J$7,IF(B10=Data!$B$8,Data!$L$8,IF(B10=Data!$B$9,Data!$L$9," ")))))</f>
        <v>Párrafo izquierdo:</v>
      </c>
      <c r="J10" s="20"/>
      <c r="K10" s="16" t="str">
        <f>IF(B10=Data!$B$7,Data!$K$7,IF(B10=Data!$B$9,Data!$N$9," "))</f>
        <v>Nombre imagen derecha:</v>
      </c>
      <c r="L10" s="16"/>
      <c r="M10" s="16" t="str">
        <f>IF(B10=Data!$B$7,Data!$M$7,IF(B10=Data!$B$9,Data!$P$9," "))</f>
        <v>Alt imagen derecha:</v>
      </c>
      <c r="N10" s="16"/>
      <c r="O10" s="16" t="str">
        <f>IF(B10=Data!$B$7,Data!$N$7,IF(B10=Data!$B$9,Data!$R$9," "))</f>
        <v>Título derecho:</v>
      </c>
      <c r="P10" s="16"/>
      <c r="Q10" s="16" t="str">
        <f>IF(B10=Data!$B$7,Data!$O$7,IF(B10=Data!$B$9,Data!$T$9," "))</f>
        <v>Párrafo derecho:</v>
      </c>
      <c r="R10" s="16"/>
      <c r="S10" s="16" t="str">
        <f>IF(B10=Data!$B$7,Data!$P$7," ")</f>
        <v xml:space="preserve"> </v>
      </c>
      <c r="T10" s="16"/>
      <c r="U10" s="12" t="str">
        <f>IF(Formulario!B10=Data!$B$3,CONCATENATE(Data!$E$3,Formulario!D10,Data!$G$3,Formulario!F10,Data!$I$3),IF(Formulario!B10=Data!$B$4,CONCATENATE(Data!$E$4,Formulario!D10,Data!$G$4,Formulario!F10,Data!$I$4,Formulario!H10,Data!$K$4),IF(Formulario!B10=Data!$B$5,CONCATENATE(Data!$E$5,Formulario!D10,Data!$G$5,Formulario!F10,Data!$I$5,Formulario!H10,Data!$K$5,Formulario!J10,Data!$M$5),IF(Formulario!B10=Data!$B$6,CONCATENATE(Data!$E$6,Formulario!D10,Data!$G$6,Formulario!F10,Data!$I$6,Formulario!H10,Data!$K$6,Formulario!J10,Data!$M$6),IF(Formulario!B10=Data!$B$7,CONCATENATE(Data!$E$7,Formulario!D10,Data!$G$7,IF(NOT(ISBLANK(Formulario!F10)),"&lt;li&gt;"&amp;Formulario!F10&amp;"&lt;/li&gt;",""),IF(NOT(ISBLANK(Formulario!H10)),"&lt;li&gt;"&amp;Formulario!H10&amp;"&lt;/li&gt;",""),IF(NOT(ISBLANK(Formulario!J10)),"&lt;li&gt;"&amp;Formulario!J10&amp;"&lt;/li&gt;",""),IF(NOT(ISBLANK(Formulario!L10)),"&lt;li&gt;"&amp;Formulario!L10&amp;"&lt;/li&gt;",""),Data!$L$7,IF(NOT(ISBLANK(Formulario!N10)),"&lt;li&gt;"&amp;Formulario!N10&amp;"&lt;/li&gt;",""),IF(NOT(ISBLANK(Formulario!P10)),"&lt;li&gt;"&amp;Formulario!P10&amp;"&lt;/li&gt;",""),IF(NOT(ISBLANK(Formulario!R10)),"&lt;li&gt;"&amp;Formulario!R10&amp;"&lt;/li&gt;",""),IF(NOT(ISBLANK(Formulario!T10)),"&lt;li&gt;"&amp;Formulario!T10&amp;"&lt;/li&gt;",""),Data!$Q$7),IF(Formulario!B10=Data!$B$8,CONCATENATE(Data!$E$8,Formulario!D10,Data!$G$8,Formulario!F10,Data!$I$8,Formulario!H10,Data!$K$8,Formulario!J10,Data!$M$8),IF(Formulario!B10=Data!$B$9,CONCATENATE(Data!$E$9,Formulario!D10,Data!$G$9,Formulario!F10,Data!$I$9,Formulario!H10,Data!$K$9,Formulario!J10,Data!$M$9,Formulario!L10,Data!$O$9,Formulario!N10,Data!$Q$9,Formulario!P10,Data!$S$9,Formulario!R10,Data!$U$9),IF(Formulario!B10=Data!$B$10,CONCATENATE(Data!$E$10,Formulario!D10,Data!$G$10,Formulario!F10,Data!$I$10,Formulario!H10,Data!$K$10),IF(Formulario!B10=Data!$B$11,CONCATENATE(Data!$E$11,Formulario!D10,Data!$G$11,Formulario!F10,Data!$I$11,Formulario!H10,Data!$K$11)," ")))))))))</f>
        <v>&lt;div class="fb-product-information-tab__pictures separator"&gt;
  &lt;div class="fb-product-information-tab__pictures-first"&gt;
    &lt;img src=https://media.falabella.com/falabellaCL/inpage_media//publicwidth=560 height=315&gt;
    &lt;h3 class="fb-cpy-bold"&gt;&lt;/h3&gt;
    &lt;p class="fb-cpy-small"&gt;&lt;/p&gt;
  &lt;/div&gt;
  &lt;div class="fb-product-information-tab__pictures-second"&gt;
    &lt;img src=https://media.falabella.com/falabellaCL/inpage_media//publicwidth=560 height=315&gt;
    &lt;h3 class="fb-cpy-bold"&gt;&lt;/h3&gt;
    &lt;p class="fb-cpy-small"&gt;&lt;/p&gt;
  &lt;/div&gt;
&lt;/div&gt;</v>
      </c>
    </row>
    <row r="11" spans="1:22" x14ac:dyDescent="0.35">
      <c r="A11" s="6" t="s">
        <v>87</v>
      </c>
      <c r="B11" s="25" t="s">
        <v>66</v>
      </c>
      <c r="C11" s="16" t="str">
        <f>IF(B11=Data!$B$3,Data!$F$3,IF(B11=Data!$B$4,Data!$F$4,IF(B11=Data!$B$5,Data!$F$5,IF(B11=Data!$B$6,Data!$F$6,IF(B11=Data!$B$7,Data!$F$7,IF(B11=Data!$B$8,Data!$F$8,IF(B11=Data!$B$9,Data!$F$9,IF(B11=Data!$B$10,Data!$F$10,IF(B11=Data!$B$11,Data!$F$11," ")))))))))</f>
        <v>Código youtube del video:</v>
      </c>
      <c r="D11" s="20"/>
      <c r="E11" s="16" t="str">
        <f>IF(B11=Data!$B$3,Data!$H$3,IF(B11=Data!$B$4,Data!$H$4,IF(B11=Data!$B$5,Data!$H$5,IF(B11=Data!$B$6,Data!$H$6,IF(B11=Data!$B$7,Data!$H$7,IF(B11=Data!$B$8,Data!$H$8,IF(B11=Data!$B$9,Data!$H$9,IF(B11=Data!$B$10,Data!$H$10,IF(B11=Data!$B$11,Data!$H$11," ")))))))))</f>
        <v>Título del párrafo:</v>
      </c>
      <c r="F11" s="21"/>
      <c r="G11" s="16" t="str">
        <f>IF(B11=Data!$B$4,Data!$J$4,IF(B11=Data!$B$5,Data!$J$5,IF(B11=Data!$B$6,Data!$J$6,IF(B11=Data!$B$7,Data!$I$7,IF(B11=Data!$B$8,Data!$J$8,IF(B11=Data!$B$9,Data!$J$9,IF(B11=Data!$B$10,Data!$J$10," ")))))))</f>
        <v>Texto del párrafo:</v>
      </c>
      <c r="H11" s="20"/>
      <c r="I11" s="16" t="str">
        <f>IF(B11=Data!$B$5,Data!$L$5,IF(B11=Data!$B$6,Data!$L$6,IF(B11=Data!$B$7,Data!$J$7,IF(B11=Data!$B$8,Data!$L$8,IF(B11=Data!$B$9,Data!$L$9," ")))))</f>
        <v xml:space="preserve"> </v>
      </c>
      <c r="J11" s="20"/>
      <c r="K11" s="16" t="str">
        <f>IF(B11=Data!$B$7,Data!$K$7,IF(B11=Data!$B$9,Data!$N$9," "))</f>
        <v xml:space="preserve"> </v>
      </c>
      <c r="L11" s="16"/>
      <c r="M11" s="16" t="str">
        <f>IF(B11=Data!$B$7,Data!$M$7,IF(B11=Data!$B$9,Data!$P$9," "))</f>
        <v xml:space="preserve"> </v>
      </c>
      <c r="N11" s="16"/>
      <c r="O11" s="16" t="str">
        <f>IF(B11=Data!$B$7,Data!$N$7,IF(B11=Data!$B$9,Data!$R$9," "))</f>
        <v xml:space="preserve"> </v>
      </c>
      <c r="P11" s="16"/>
      <c r="Q11" s="16" t="str">
        <f>IF(B11=Data!$B$7,Data!$O$7,IF(B11=Data!$B$9,Data!$T$9," "))</f>
        <v xml:space="preserve"> </v>
      </c>
      <c r="R11" s="16"/>
      <c r="S11" s="16" t="str">
        <f>IF(B11=Data!$B$7,Data!$P$7," ")</f>
        <v xml:space="preserve"> </v>
      </c>
      <c r="T11" s="16"/>
      <c r="U11" s="12" t="str">
        <f>IF(Formulario!B11=Data!$B$3,CONCATENATE(Data!$E$3,Formulario!D11,Data!$G$3,Formulario!F11,Data!$I$3),IF(Formulario!B11=Data!$B$4,CONCATENATE(Data!$E$4,Formulario!D11,Data!$G$4,Formulario!F11,Data!$I$4,Formulario!H11,Data!$K$4),IF(Formulario!B11=Data!$B$5,CONCATENATE(Data!$E$5,Formulario!D11,Data!$G$5,Formulario!F11,Data!$I$5,Formulario!H11,Data!$K$5,Formulario!J11,Data!$M$5),IF(Formulario!B11=Data!$B$6,CONCATENATE(Data!$E$6,Formulario!D11,Data!$G$6,Formulario!F11,Data!$I$6,Formulario!H11,Data!$K$6,Formulario!J11,Data!$M$6),IF(Formulario!B11=Data!$B$7,CONCATENATE(Data!$E$7,Formulario!D11,Data!$G$7,IF(NOT(ISBLANK(Formulario!F11)),"&lt;li&gt;"&amp;Formulario!F11&amp;"&lt;/li&gt;",""),IF(NOT(ISBLANK(Formulario!H11)),"&lt;li&gt;"&amp;Formulario!H11&amp;"&lt;/li&gt;",""),IF(NOT(ISBLANK(Formulario!J11)),"&lt;li&gt;"&amp;Formulario!J11&amp;"&lt;/li&gt;",""),IF(NOT(ISBLANK(Formulario!L11)),"&lt;li&gt;"&amp;Formulario!L11&amp;"&lt;/li&gt;",""),Data!$L$7,IF(NOT(ISBLANK(Formulario!N11)),"&lt;li&gt;"&amp;Formulario!N11&amp;"&lt;/li&gt;",""),IF(NOT(ISBLANK(Formulario!P11)),"&lt;li&gt;"&amp;Formulario!P11&amp;"&lt;/li&gt;",""),IF(NOT(ISBLANK(Formulario!R11)),"&lt;li&gt;"&amp;Formulario!R11&amp;"&lt;/li&gt;",""),IF(NOT(ISBLANK(Formulario!T11)),"&lt;li&gt;"&amp;Formulario!T11&amp;"&lt;/li&gt;",""),Data!$Q$7),IF(Formulario!B11=Data!$B$8,CONCATENATE(Data!$E$8,Formulario!D11,Data!$G$8,Formulario!F11,Data!$I$8,Formulario!H11,Data!$K$8,Formulario!J11,Data!$M$8),IF(Formulario!B11=Data!$B$9,CONCATENATE(Data!$E$9,Formulario!D11,Data!$G$9,Formulario!F11,Data!$I$9,Formulario!H11,Data!$K$9,Formulario!J11,Data!$M$9,Formulario!L11,Data!$O$9,Formulario!N11,Data!$Q$9,Formulario!P11,Data!$S$9,Formulario!R11,Data!$U$9),IF(Formulario!B11=Data!$B$10,CONCATENATE(Data!$E$10,Formulario!D11,Data!$G$10,Formulario!F11,Data!$I$10,Formulario!H11,Data!$K$10),IF(Formulario!B11=Data!$B$11,CONCATENATE(Data!$E$11,Formulario!D11,Data!$G$11,Formulario!F11,Data!$I$11,Formulario!H11,Data!$K$11)," ")))))))))</f>
        <v>&lt;div class="fb-product-information-tab__video separator"&gt; 
  &lt;div class="fb-product-information-tab__video-iframe"&gt;
 &lt;iframe src="https://www.youtube.com/embed/" frameborder="0" allowfullscreen&gt;&lt;/iframe&gt;
  &lt;/div&gt;
  &lt;div class="fb-product-information-tab__video-text"&gt;
    &lt;h3 class="fb-cpy-bold"&gt;&lt;/h3&gt;
    &lt;p class="fb-cpy-small"&gt;&lt;/p&gt;
  &lt;/div&gt;
&lt;/div&gt;</v>
      </c>
    </row>
    <row r="12" spans="1:22" x14ac:dyDescent="0.35">
      <c r="A12" s="6" t="s">
        <v>88</v>
      </c>
      <c r="B12" s="25" t="s">
        <v>71</v>
      </c>
      <c r="C12" s="16" t="str">
        <f>IF(B12=Data!$B$3,Data!$F$3,IF(B12=Data!$B$4,Data!$F$4,IF(B12=Data!$B$5,Data!$F$5,IF(B12=Data!$B$6,Data!$F$6,IF(B12=Data!$B$7,Data!$F$7,IF(B12=Data!$B$8,Data!$F$8,IF(B12=Data!$B$9,Data!$F$9,IF(B12=Data!$B$10,Data!$F$10,IF(B12=Data!$B$11,Data!$F$11," ")))))))))</f>
        <v>URL a direccionar:</v>
      </c>
      <c r="D12" s="20"/>
      <c r="E12" s="16" t="str">
        <f>IF(B12=Data!$B$3,Data!$H$3,IF(B12=Data!$B$4,Data!$H$4,IF(B12=Data!$B$5,Data!$H$5,IF(B12=Data!$B$6,Data!$H$6,IF(B12=Data!$B$7,Data!$H$7,IF(B12=Data!$B$8,Data!$H$8,IF(B12=Data!$B$9,Data!$H$9,IF(B12=Data!$B$10,Data!$H$10,IF(B12=Data!$B$11,Data!$H$11," ")))))))))</f>
        <v>Nombre imagen:</v>
      </c>
      <c r="F12" s="20"/>
      <c r="G12" s="16" t="str">
        <f>IF(B12=Data!$B$4,Data!$J$4,IF(B12=Data!$B$5,Data!$J$5,IF(B12=Data!$B$6,Data!$J$6,IF(B12=Data!$B$7,Data!$I$7,IF(B12=Data!$B$8,Data!$J$8,IF(B12=Data!$B$9,Data!$J$9,IF(B12=Data!$B$10,Data!$J$10," ")))))))</f>
        <v xml:space="preserve"> </v>
      </c>
      <c r="H12" s="20"/>
      <c r="I12" s="16" t="str">
        <f>IF(B12=Data!$B$5,Data!$L$5,IF(B12=Data!$B$6,Data!$L$6,IF(B12=Data!$B$7,Data!$J$7,IF(B12=Data!$B$8,Data!$L$8,IF(B12=Data!$B$9,Data!$L$9," ")))))</f>
        <v xml:space="preserve"> </v>
      </c>
      <c r="J12" s="20"/>
      <c r="K12" s="16" t="str">
        <f>IF(B12=Data!$B$7,Data!$K$7,IF(B12=Data!$B$9,Data!$N$9," "))</f>
        <v xml:space="preserve"> </v>
      </c>
      <c r="L12" s="16"/>
      <c r="M12" s="16" t="str">
        <f>IF(B12=Data!$B$7,Data!$M$7,IF(B12=Data!$B$9,Data!$P$9," "))</f>
        <v xml:space="preserve"> </v>
      </c>
      <c r="N12" s="16"/>
      <c r="O12" s="16" t="str">
        <f>IF(B12=Data!$B$7,Data!$N$7,IF(B12=Data!$B$9,Data!$R$9," "))</f>
        <v xml:space="preserve"> </v>
      </c>
      <c r="P12" s="16"/>
      <c r="Q12" s="16" t="str">
        <f>IF(B12=Data!$B$7,Data!$O$7,IF(B12=Data!$B$9,Data!$T$9," "))</f>
        <v xml:space="preserve"> </v>
      </c>
      <c r="R12" s="16"/>
      <c r="S12" s="16" t="str">
        <f>IF(B12=Data!$B$7,Data!$P$7," ")</f>
        <v xml:space="preserve"> </v>
      </c>
      <c r="T12" s="16"/>
      <c r="U12" s="12" t="str">
        <f>IF(Formulario!B12=Data!$B$3,CONCATENATE(Data!$E$3,Formulario!D12,Data!$G$3,Formulario!F12,Data!$I$3),IF(Formulario!B12=Data!$B$4,CONCATENATE(Data!$E$4,Formulario!D12,Data!$G$4,Formulario!F12,Data!$I$4,Formulario!H12,Data!$K$4),IF(Formulario!B12=Data!$B$5,CONCATENATE(Data!$E$5,Formulario!D12,Data!$G$5,Formulario!F12,Data!$I$5,Formulario!H12,Data!$K$5,Formulario!J12,Data!$M$5),IF(Formulario!B12=Data!$B$6,CONCATENATE(Data!$E$6,Formulario!D12,Data!$G$6,Formulario!F12,Data!$I$6,Formulario!H12,Data!$K$6,Formulario!J12,Data!$M$6),IF(Formulario!B12=Data!$B$7,CONCATENATE(Data!$E$7,Formulario!D12,Data!$G$7,IF(NOT(ISBLANK(Formulario!F12)),"&lt;li&gt;"&amp;Formulario!F12&amp;"&lt;/li&gt;",""),IF(NOT(ISBLANK(Formulario!H12)),"&lt;li&gt;"&amp;Formulario!H12&amp;"&lt;/li&gt;",""),IF(NOT(ISBLANK(Formulario!J12)),"&lt;li&gt;"&amp;Formulario!J12&amp;"&lt;/li&gt;",""),IF(NOT(ISBLANK(Formulario!L12)),"&lt;li&gt;"&amp;Formulario!L12&amp;"&lt;/li&gt;",""),Data!$L$7,IF(NOT(ISBLANK(Formulario!N12)),"&lt;li&gt;"&amp;Formulario!N12&amp;"&lt;/li&gt;",""),IF(NOT(ISBLANK(Formulario!P12)),"&lt;li&gt;"&amp;Formulario!P12&amp;"&lt;/li&gt;",""),IF(NOT(ISBLANK(Formulario!R12)),"&lt;li&gt;"&amp;Formulario!R12&amp;"&lt;/li&gt;",""),IF(NOT(ISBLANK(Formulario!T12)),"&lt;li&gt;"&amp;Formulario!T12&amp;"&lt;/li&gt;",""),Data!$Q$7),IF(Formulario!B12=Data!$B$8,CONCATENATE(Data!$E$8,Formulario!D12,Data!$G$8,Formulario!F12,Data!$I$8,Formulario!H12,Data!$K$8,Formulario!J12,Data!$M$8),IF(Formulario!B12=Data!$B$9,CONCATENATE(Data!$E$9,Formulario!D12,Data!$G$9,Formulario!F12,Data!$I$9,Formulario!H12,Data!$K$9,Formulario!J12,Data!$M$9,Formulario!L12,Data!$O$9,Formulario!N12,Data!$Q$9,Formulario!P12,Data!$S$9,Formulario!R12,Data!$U$9),IF(Formulario!B12=Data!$B$10,CONCATENATE(Data!$E$10,Formulario!D12,Data!$G$10,Formulario!F12,Data!$I$10,Formulario!H12,Data!$K$10),IF(Formulario!B12=Data!$B$11,CONCATENATE(Data!$E$11,Formulario!D12,Data!$G$11,Formulario!F12,Data!$I$11,Formulario!H12,Data!$K$11)," ")))))))))</f>
        <v>&lt;!DOCTYPE html&gt;
&lt;html lang="es"&gt;
&lt;head&gt;
    &lt;meta charset="UTF-8"&gt;
    &lt;meta name="viewport" content="width=device-width, initial-scale=1.0"&gt;
    &lt;title&gt;Producto&lt;/title&gt;
&lt;/head&gt;
&lt;body&gt;
    &lt;a href="" target="_blank"&gt;
        &lt;img src="https://media.falabella.com/falabellaCL/inpage_media//h=400,w=400" alt="Zapatillas"&gt;
    &lt;/a&gt;
&lt;/body&gt;
&lt;/html&gt;</v>
      </c>
    </row>
    <row r="13" spans="1:22" ht="15" customHeight="1" x14ac:dyDescent="0.35">
      <c r="A13" s="7" t="s">
        <v>89</v>
      </c>
      <c r="B13" s="25"/>
      <c r="C13" s="16" t="str">
        <f>IF(B13=Data!$B$3,Data!$F$3,IF(B13=Data!$B$4,Data!$F$4,IF(B13=Data!$B$5,Data!$F$5,IF(B13=Data!$B$6,Data!$F$6,IF(B13=Data!$B$7,Data!$F$7,IF(B13=Data!$B$8,Data!$F$8,IF(B13=Data!$B$9,Data!$F$9,IF(B13=Data!$B$10,Data!$F$10," "))))))))</f>
        <v xml:space="preserve"> </v>
      </c>
      <c r="D13" s="20"/>
      <c r="E13" s="16" t="str">
        <f>IF(B13=Data!$B$3,Data!$H$3,IF(B13=Data!$B$4,Data!$H$4,IF(B13=Data!$B$5,Data!$H$5,IF(B13=Data!$B$6,Data!$H$6,IF(B13=Data!$B$7,Data!$H$7,IF(B13=Data!$B$8,Data!$H$8,IF(B13=Data!$B$9,Data!$H$9,IF(B13=Data!$B$10,Data!$H$10,IF(B13=Data!$B$11,Data!$H$11," ")))))))))</f>
        <v xml:space="preserve"> </v>
      </c>
      <c r="F13" s="20"/>
      <c r="G13" s="16" t="str">
        <f>IF(B13=Data!$B$4,Data!$J$4,IF(B13=Data!$B$5,Data!$J$5,IF(B13=Data!$B$6,Data!$J$6,IF(B13=Data!$B$7,Data!$I$7,IF(B13=Data!$B$8,Data!$J$8,IF(B13=Data!$B$9,Data!$J$9,IF(B13=Data!$B$10,Data!$J$10," ")))))))</f>
        <v xml:space="preserve"> </v>
      </c>
      <c r="H13" s="21"/>
      <c r="I13" s="16" t="str">
        <f>IF(B13=Data!$B$5,Data!$L$5,IF(B13=Data!$B$6,Data!$L$6,IF(B13=Data!$B$7,Data!$J$7,IF(B13=Data!$B$8,Data!$L$8,IF(B13=Data!$B$9,Data!$L$9," ")))))</f>
        <v xml:space="preserve"> </v>
      </c>
      <c r="J13" s="20"/>
      <c r="K13" s="16" t="str">
        <f>IF(B13=Data!$B$7,Data!$K$7,IF(B13=Data!$B$9,Data!$N$9," "))</f>
        <v xml:space="preserve"> </v>
      </c>
      <c r="L13" s="16"/>
      <c r="M13" s="16" t="str">
        <f>IF(B13=Data!$B$7,Data!$M$7,IF(B13=Data!$B$9,Data!$P$9," "))</f>
        <v xml:space="preserve"> </v>
      </c>
      <c r="N13" s="16"/>
      <c r="O13" s="16" t="str">
        <f>IF(B13=Data!$B$7,Data!$N$7,IF(B13=Data!$B$9,Data!$R$9," "))</f>
        <v xml:space="preserve"> </v>
      </c>
      <c r="P13" s="16"/>
      <c r="Q13" s="16" t="str">
        <f>IF(B13=Data!$B$7,Data!$O$7,IF(B13=Data!$B$9,Data!$T$9," "))</f>
        <v xml:space="preserve"> </v>
      </c>
      <c r="R13" s="16"/>
      <c r="S13" s="16" t="str">
        <f>IF(B13=Data!$B$7,Data!$P$7," ")</f>
        <v xml:space="preserve"> </v>
      </c>
      <c r="T13" s="16"/>
      <c r="U13" s="12" t="str">
        <f>IF(Formulario!B13=Data!$B$3,CONCATENATE(Data!$E$3,Formulario!D13,Data!$G$3,Formulario!F13,Data!$I$3),IF(Formulario!B13=Data!$B$4,CONCATENATE(Data!$E$4,Formulario!D13,Data!$G$4,Formulario!F13,Data!$I$4,Formulario!H13,Data!$K$4),IF(Formulario!B13=Data!$B$5,CONCATENATE(Data!$E$5,Formulario!D13,Data!$G$5,Formulario!F13,Data!$I$5,Formulario!H13,Data!$K$5,Formulario!J13,Data!$M$5),IF(Formulario!B13=Data!$B$6,CONCATENATE(Data!$E$6,Formulario!D13,Data!$G$6,Formulario!F13,Data!$I$6,Formulario!H13,Data!$K$6,Formulario!J13,Data!$M$6),IF(Formulario!B13=Data!$B$7,CONCATENATE(Data!$E$7,Formulario!D13,Data!$G$7,IF(NOT(ISBLANK(Formulario!F13)),"&lt;li&gt;"&amp;Formulario!F13&amp;"&lt;/li&gt;",""),IF(NOT(ISBLANK(Formulario!H13)),"&lt;li&gt;"&amp;Formulario!H13&amp;"&lt;/li&gt;",""),IF(NOT(ISBLANK(Formulario!J13)),"&lt;li&gt;"&amp;Formulario!J13&amp;"&lt;/li&gt;",""),IF(NOT(ISBLANK(Formulario!L13)),"&lt;li&gt;"&amp;Formulario!L13&amp;"&lt;/li&gt;",""),Data!$L$7,IF(NOT(ISBLANK(Formulario!N13)),"&lt;li&gt;"&amp;Formulario!N13&amp;"&lt;/li&gt;",""),IF(NOT(ISBLANK(Formulario!P13)),"&lt;li&gt;"&amp;Formulario!P13&amp;"&lt;/li&gt;",""),IF(NOT(ISBLANK(Formulario!R13)),"&lt;li&gt;"&amp;Formulario!R13&amp;"&lt;/li&gt;",""),IF(NOT(ISBLANK(Formulario!T13)),"&lt;li&gt;"&amp;Formulario!T13&amp;"&lt;/li&gt;",""),Data!$Q$7),IF(Formulario!B13=Data!$B$8,CONCATENATE(Data!$E$8,Formulario!D13,Data!$G$8,Formulario!F13,Data!$I$8,Formulario!H13,Data!$K$8,Formulario!J13,Data!$M$8),IF(Formulario!B13=Data!$B$9,CONCATENATE(Data!$E$9,Formulario!D13,Data!$G$9,Formulario!F13,Data!$I$9,Formulario!H13,Data!$K$9,Formulario!J13,Data!$M$9,Formulario!L13,Data!$O$9,Formulario!N13,Data!$Q$9,Formulario!P13,Data!$S$9,Formulario!R13,Data!$U$9),IF(Formulario!B13=Data!$B$10,CONCATENATE(Data!$E$10,Formulario!D13,Data!$G$10,Formulario!F13,Data!$I$10,Formulario!H13,Data!$K$10),IF(Formulario!B13=Data!$B$11,CONCATENATE(Data!$E$11,Formulario!D13,Data!$G$11,Formulario!F13,Data!$I$11,Formulario!H13,Data!$K$11)," ")))))))))</f>
        <v xml:space="preserve"> </v>
      </c>
    </row>
    <row r="14" spans="1:22" x14ac:dyDescent="0.35">
      <c r="C14" s="3"/>
      <c r="D14" s="10"/>
      <c r="E14" s="3"/>
      <c r="F14" s="11"/>
      <c r="G14" s="3"/>
      <c r="H14" s="10"/>
      <c r="U14" s="3"/>
      <c r="V14" s="12" t="str">
        <f>IF(Formulario!C14=Data!$B$3,CONCATENATE(Data!$E$3,Formulario!E14,Data!$G$3,Formulario!G14,Data!$I$3),IF(Formulario!C14=Data!$B$4,CONCATENATE(Data!$E$4,Formulario!E14,Data!$G$4,Formulario!G14,Data!$I$4,Formulario!I14,Data!$K$4),IF(Formulario!C14=Data!$B$5,CONCATENATE(Data!$E$5,Formulario!E14,Data!$G$5,Formulario!G14,Data!$I$5,Formulario!I14,Data!$K$5,Formulario!K14,Data!$M$5),IF(Formulario!C14=Data!$B$6,CONCATENATE(Data!$E$6,Formulario!E14,Data!$G$6,Formulario!G14,Data!$I$6,Formulario!I14,Data!$K$6,Formulario!K14,Data!$M$6),IF(Formulario!C14=Data!$B$7,CONCATENATE(Data!$E$7,Formulario!E14,Data!$G$7,Formulario!G14,"&lt;/li&gt;&lt;li&gt;",Formulario!I14,"&lt;/li&gt;&lt;li&gt;",Formulario!K14,"&lt;/li&gt;&lt;li&gt;",Formulario!M14,Data!$L$7,Formulario!O14,"&lt;/li&gt;&lt;li&gt;",Formulario!Q14,"&lt;/li&gt;&lt;li&gt;",Formulario!S14,"&lt;/li&gt;&lt;li&gt;",Formulario!U14,Data!$Q$7),IF(Formulario!C14=Data!$B$8,CONCATENATE(Data!$E$8,Formulario!E14,Data!$G$8,Formulario!G14,Data!$I$8,Formulario!I14,Data!$K$8,Formulario!K14,Data!$M$8),IF(Formulario!C14=Data!$B$9,CONCATENATE(Data!$E$9,Formulario!E14,Data!$G$9,Formulario!G14,Data!$I$9,Formulario!I14,Data!$K$9,Formulario!K14,Data!$M$9,Formulario!M14,Data!$O$9,Formulario!O14,Data!$Q$9,Formulario!Q14,Data!$S$9,Formulario!S14,Data!$T$9),IF(Formulario!C14=Data!$B$10,CONCATENATE(Data!$E$10,Formulario!E14,Data!$G$10,Formulario!G14,Data!I21,Formulario!I14,Data!K21)," "))))))))</f>
        <v xml:space="preserve"> </v>
      </c>
    </row>
  </sheetData>
  <sheetProtection formatCells="0" formatColumns="0" formatRows="0"/>
  <conditionalFormatting sqref="D4:D13">
    <cfRule type="expression" dxfId="3" priority="4">
      <formula>C4&lt;&gt;" "</formula>
    </cfRule>
  </conditionalFormatting>
  <conditionalFormatting sqref="F4:F13">
    <cfRule type="expression" dxfId="2" priority="7">
      <formula>E4&lt;&gt;" "</formula>
    </cfRule>
  </conditionalFormatting>
  <conditionalFormatting sqref="H4:H13">
    <cfRule type="expression" dxfId="1" priority="1">
      <formula>G4&lt;&gt;" "</formula>
    </cfRule>
  </conditionalFormatting>
  <conditionalFormatting sqref="J4:J13">
    <cfRule type="expression" dxfId="0" priority="2">
      <formula>I4&lt;&gt;" 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401973-8B83-45BC-A215-B3C458A3D765}">
          <x14:formula1>
            <xm:f>Data!$B$3:$B$11</xm:f>
          </x14:formula1>
          <xm:sqref>B4:B13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="40" zoomScaleNormal="40" workbookViewId="0">
      <selection activeCell="K13" sqref="K13"/>
    </sheetView>
  </sheetViews>
  <sheetFormatPr baseColWidth="10" defaultColWidth="11.453125" defaultRowHeight="14.5" x14ac:dyDescent="0.35"/>
  <cols>
    <col min="1" max="1" width="46.81640625" bestFit="1" customWidth="1"/>
    <col min="2" max="2" width="45.1796875" customWidth="1"/>
  </cols>
  <sheetData>
    <row r="1" spans="1:2" ht="208.5" customHeight="1" thickBot="1" x14ac:dyDescent="0.4">
      <c r="A1" s="9" t="s">
        <v>90</v>
      </c>
      <c r="B1" s="23" t="str">
        <f>CONCATENATE(Data!$D$2,Formulario!$U$4,Formulario!$U$5,Formulario!$U$6,Formulario!$U$7,Formulario!$U$8,Formulario!$U$9,Formulario!$U$10,Formulario!$U$11,Formulario!$U$12,Formulario!$U$13,Data!$D$12)</f>
        <v>&lt;div class="fb-product-information-tab__copy__new"&gt;&lt;div class="fb-product-information-tab__header separator"&gt;
  &lt;img src=https://media.falabella.com/falabellaCL/inpage_media//publicwidth=1160 height=480&gt;  &lt;/div&gt;&lt;div class="fb-product-information-tab__text separator"&gt;
  &lt;div class="fb-product-information-tab__text-first"&gt;
    &lt;h3 class="fb-cpy-bold"&gt;&lt;/h3&gt;
    &lt;p class="fb-cpy-small"&gt;&lt;/p&gt;
  &lt;/div&gt;&lt;div class="fb-product-information-tab__text-second"&gt;
    &lt;h3 class="fb-cpy-bold"&gt; &lt;/h3&gt;
    &lt;p class="fb-cpy-small"&gt;&lt;/p&gt;
  &lt;/div&gt;
&lt;/div&gt;&lt;div class="fb-product-information-tab__picture-text separator"&gt;
  &lt;div class="fb-product-information-tab__picture-text-first"&gt;
    &lt;img src=https://media.falabella.com/falabellaCL/inpage_media//publicwidth=560 height=315&gt;
  &lt;/div&gt;
  &lt;div class="fb-product-information-tab__picture-text-second"&gt;
    &lt;h3 class="fb-cpy-bold"&gt;&lt;/h3&gt;
    &lt;p class="fb-cpy-small"&gt;&lt;/p&gt;
  &lt;/div&gt;
&lt;/div&gt;&lt;div class="fb-product-information-tab__picture-text separator"&gt;
  &lt;div class="fb-product-information-tab__picture-text-first orderFix"&gt;
    &lt;h3 class="fb-cpy-bold"&gt;&lt;/h3&gt;
    &lt;p class="fb-cpy-small"&gt;&lt;/p&gt;
  &lt;/div&gt;
  &lt;div class="fb-product-information-tab__picture-text-second orderFix"&gt;
    &lt;img src=https://media.falabella.com/falabellaCL/inpage_media//publicwidth=560 height=315&gt;
  &lt;/div&gt;
&lt;/div&gt;&lt;div class="fb-product-information-tab__text separator"&gt;
  &lt;div class="fb-product-information-tab__text-first"&gt;
    &lt;h3 class="fb-cpy-bold"&gt;&lt;/h3&gt;
    &lt;ul class="fb-cpy-small fb-list"&gt;    &lt;/ul&gt;
  &lt;/div&gt;
  &lt;div class="fb-product-information-tab__text-second"&gt;
    &lt;h3 class="fb-cpy-bold"&gt;&amp;nbsp;&lt;/h3&gt;
    &lt;ul class="fb-cpy-small fb-list"&gt;  &lt;/ul&gt;
  &lt;/div&gt;
&lt;/div&gt;
&lt;div class="fb-product-information-tab__banner separator"&gt;
  &lt;img src=https://media.falabella.com/falabellaCL/inpage_media//publicwidth=1160 height=360&gt;
  &lt;h3 class="fb-cpy-bold"&gt;&lt;/h3&gt;
  &lt;p class="fb-cpy-small"&gt;&lt;/p&gt;
&lt;/div&gt;&lt;div class="fb-product-information-tab__pictures separator"&gt;
  &lt;div class="fb-product-information-tab__pictures-first"&gt;
    &lt;img src=https://media.falabella.com/falabellaCL/inpage_media//publicwidth=560 height=315&gt;
    &lt;h3 class="fb-cpy-bold"&gt;&lt;/h3&gt;
    &lt;p class="fb-cpy-small"&gt;&lt;/p&gt;
  &lt;/div&gt;
  &lt;div class="fb-product-information-tab__pictures-second"&gt;
    &lt;img src=https://media.falabella.com/falabellaCL/inpage_media//publicwidth=560 height=315&gt;
    &lt;h3 class="fb-cpy-bold"&gt;&lt;/h3&gt;
    &lt;p class="fb-cpy-small"&gt;&lt;/p&gt;
  &lt;/div&gt;
&lt;/div&gt;&lt;div class="fb-product-information-tab__video separator"&gt; 
  &lt;div class="fb-product-information-tab__video-iframe"&gt;
 &lt;iframe src="https://www.youtube.com/embed/" frameborder="0" allowfullscreen&gt;&lt;/iframe&gt;
  &lt;/div&gt;
  &lt;div class="fb-product-information-tab__video-text"&gt;
    &lt;h3 class="fb-cpy-bold"&gt;&lt;/h3&gt;
    &lt;p class="fb-cpy-small"&gt;&lt;/p&gt;
  &lt;/div&gt;
&lt;/div&gt;&lt;!DOCTYPE html&gt;
&lt;html lang="es"&gt;
&lt;head&gt;
    &lt;meta charset="UTF-8"&gt;
    &lt;meta name="viewport" content="width=device-width, initial-scale=1.0"&gt;
    &lt;title&gt;Producto&lt;/title&gt;
&lt;/head&gt;
&lt;body&gt;
    &lt;a href="" target="_blank"&gt;
        &lt;img src="https://media.falabella.com/falabellaCL/inpage_media//h=400,w=400" alt="Zapatillas"&gt;
    &lt;/a&gt;
&lt;/body&gt;
&lt;/html&gt; &lt;/div&gt;</v>
      </c>
    </row>
  </sheetData>
  <sheetProtection algorithmName="SHA-512" hashValue="toDqXrhYctMn3dKsz3oV5kC/IPUtZ9uwqVYkwC3A+uYPSz9nbqeullh3eSwaZS6nmpu6Gb/K2e3/Yz4HvYGubA==" saltValue="wm3W75LLnmVGFdiP2CbYxw==" spinCount="100000" sheet="1" objects="1" scenarios="1" formatCells="0" formatColumns="0" formatRow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Formulario</vt:lpstr>
      <vt:lpstr>Código (No llenar)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2025-07-18T19:14:36Z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